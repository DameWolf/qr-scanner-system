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ummary Report" sheetId="2" r:id="rId6"/>
  </sheets>
  <definedNames/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9">
      <text>
        <t xml:space="preserve">Responder updated this value.</t>
      </text>
    </comment>
    <comment authorId="0" ref="H95">
      <text>
        <t xml:space="preserve">Responder updated this value.</t>
      </text>
    </comment>
    <comment authorId="0" ref="F98">
      <text>
        <t xml:space="preserve">Responder updated this value.</t>
      </text>
    </comment>
    <comment authorId="0" ref="F99">
      <text>
        <t xml:space="preserve">Responder updated this value.</t>
      </text>
    </comment>
    <comment authorId="0" ref="E131">
      <text>
        <t xml:space="preserve">Responder updated this value.</t>
      </text>
    </comment>
    <comment authorId="0" ref="F131">
      <text>
        <t xml:space="preserve">Responder updated this value.</t>
      </text>
    </comment>
    <comment authorId="0" ref="E181">
      <text>
        <t xml:space="preserve">Responder updated this value.</t>
      </text>
    </comment>
    <comment authorId="0" ref="F181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<sst xmlns="http://schemas.openxmlformats.org/spreadsheetml/2006/main" count="2526" uniqueCount="1617">
  <si>
    <t>Timestamp</t>
  </si>
  <si>
    <t>GIVEN NAME</t>
  </si>
  <si>
    <t>MIDDLE NAME</t>
  </si>
  <si>
    <t>FAMILY NAME</t>
  </si>
  <si>
    <t>PAMET ID Number (Follow the format "e.g. 25123-88-Ab")</t>
  </si>
  <si>
    <t>PAMET ID Validity Date</t>
  </si>
  <si>
    <t>PAMET Chapter</t>
  </si>
  <si>
    <t>Email Address</t>
  </si>
  <si>
    <t>Proof of Payment (Deposit Slip, On-line transaction Receipt)</t>
  </si>
  <si>
    <t>Column 10</t>
  </si>
  <si>
    <r>
      <t xml:space="preserve">Is your PAMET ID still valid? </t>
    </r>
    <r>
      <rPr>
        <rFont val="Arial"/>
        <b/>
        <color theme="1"/>
      </rPr>
      <t>(PAMET ID validity should be until December 2026 or onwards, if not then please do make sure that your PAMET ID is renewed accordingly)</t>
    </r>
  </si>
  <si>
    <t>Contact Number</t>
  </si>
  <si>
    <r>
      <t xml:space="preserve">Senior Citizen's ID / PWD ID (This item is for discount purposes, and only SC or PWD participants may avail this) </t>
    </r>
    <r>
      <rPr>
        <rFont val="Arial"/>
        <i/>
        <color theme="1"/>
      </rPr>
      <t>Note: Only 1 ID card will honored even if participant has both.</t>
    </r>
  </si>
  <si>
    <t>Credentials are correct</t>
  </si>
  <si>
    <t>Payment validated</t>
  </si>
  <si>
    <t>Progress</t>
  </si>
  <si>
    <t>Remarks</t>
  </si>
  <si>
    <t>Eileen Rowena</t>
  </si>
  <si>
    <t>Icban</t>
  </si>
  <si>
    <t>Fernandez</t>
  </si>
  <si>
    <t>6055-44-Ab</t>
  </si>
  <si>
    <t>BULACAN</t>
  </si>
  <si>
    <t>eileenrowenaicban@yahoo.com</t>
  </si>
  <si>
    <t>https://drive.google.com/open?id=1hPUo_uwUG9LsdxSHNO9uHNz4YZQmnG12</t>
  </si>
  <si>
    <t>Yes</t>
  </si>
  <si>
    <t>09189511787</t>
  </si>
  <si>
    <t>VALIDATED</t>
  </si>
  <si>
    <t xml:space="preserve">PHILIP ESTEBAN </t>
  </si>
  <si>
    <t xml:space="preserve">MATIAS </t>
  </si>
  <si>
    <t xml:space="preserve">MENOR </t>
  </si>
  <si>
    <t>1992-77-Ab</t>
  </si>
  <si>
    <t>ILOCOS NORTE</t>
  </si>
  <si>
    <t>pemm_rmt@yahoo.com</t>
  </si>
  <si>
    <t>https://drive.google.com/open?id=1FdlzzLWs_N6WefOlYgZEQcTzYv9HyyC8</t>
  </si>
  <si>
    <t>09772144600</t>
  </si>
  <si>
    <t>NENITA</t>
  </si>
  <si>
    <t>CASTILLO</t>
  </si>
  <si>
    <t xml:space="preserve">BUDUAN </t>
  </si>
  <si>
    <t>30866-77-Ab</t>
  </si>
  <si>
    <t>nenitacastillobuduan@gmail.com</t>
  </si>
  <si>
    <t>https://drive.google.com/open?id=1q-qhd_B5sVFNRoLNg4gPoaYOKbsWO8jd</t>
  </si>
  <si>
    <t>09175752881</t>
  </si>
  <si>
    <t>ELEANOR</t>
  </si>
  <si>
    <t>REALCE</t>
  </si>
  <si>
    <t>MALANNAG</t>
  </si>
  <si>
    <t>11704-74-Ab</t>
  </si>
  <si>
    <t>KALINGA-APAYAO</t>
  </si>
  <si>
    <t>apmalannag@gmail.com</t>
  </si>
  <si>
    <t>https://drive.google.com/open?id=1YaZgjQFU1sDZzxfQepsIeRc9D232PwSg</t>
  </si>
  <si>
    <t/>
  </si>
  <si>
    <t>09369106271</t>
  </si>
  <si>
    <t>Avelyn</t>
  </si>
  <si>
    <t>Aromin</t>
  </si>
  <si>
    <t>Juan</t>
  </si>
  <si>
    <t>56155-74-Ab</t>
  </si>
  <si>
    <t>eylinaromin77@gmail.com</t>
  </si>
  <si>
    <t>https://drive.google.com/open?id=1O2ReKba10XmNsYf3jjlXHHEfI7w1N_2F</t>
  </si>
  <si>
    <t>09994340992</t>
  </si>
  <si>
    <t>Rio Belle</t>
  </si>
  <si>
    <t>Dizon</t>
  </si>
  <si>
    <t>Ramiscal</t>
  </si>
  <si>
    <t>3645-78-Ab</t>
  </si>
  <si>
    <t>CAGAYAN</t>
  </si>
  <si>
    <t>rriobelle@gmail.com</t>
  </si>
  <si>
    <t>https://drive.google.com/open?id=1Amk_U83Zck3BYpAmwRCqvWyUjDtx93PB</t>
  </si>
  <si>
    <t>09175987728</t>
  </si>
  <si>
    <t>CORAJANE</t>
  </si>
  <si>
    <t>ARNEDO</t>
  </si>
  <si>
    <t>TAYAMAN</t>
  </si>
  <si>
    <t>16375-78-Ab</t>
  </si>
  <si>
    <t>corajanet2025@gmail.com</t>
  </si>
  <si>
    <t>https://drive.google.com/open?id=1AA8i09n6dpg3S45yLq55IRMcXm3BtLo0</t>
  </si>
  <si>
    <t>09050417185</t>
  </si>
  <si>
    <t>DONNA THERESE</t>
  </si>
  <si>
    <t>MATAMMU</t>
  </si>
  <si>
    <t>TAGUINOD</t>
  </si>
  <si>
    <t>17039-78-Ab</t>
  </si>
  <si>
    <t>Dmtaguinod@gmail.com</t>
  </si>
  <si>
    <t>https://drive.google.com/open?id=1yEPo7BgEz9S-DF1roTVu3LYrfw1vR7zY</t>
  </si>
  <si>
    <t>09175431775</t>
  </si>
  <si>
    <t>Lolenia</t>
  </si>
  <si>
    <t>Melad</t>
  </si>
  <si>
    <t>Dasayon</t>
  </si>
  <si>
    <t>11365-78-Aa</t>
  </si>
  <si>
    <t>lendmelad@yahoo.com</t>
  </si>
  <si>
    <t>https://drive.google.com/open?id=1l81Fj_ErZrHJAdNHakt1MlyJdQ10DkOz</t>
  </si>
  <si>
    <t>09067359796</t>
  </si>
  <si>
    <t>FILIPINA</t>
  </si>
  <si>
    <t>FLORA</t>
  </si>
  <si>
    <t>PAMILLARAN</t>
  </si>
  <si>
    <t>8015-02-Ab</t>
  </si>
  <si>
    <t>ILOILO</t>
  </si>
  <si>
    <t>pinaiskie@gmail.com</t>
  </si>
  <si>
    <t>https://drive.google.com/open?id=1RriSODDH1BqyHvnA0cDi83JF3K64qpql</t>
  </si>
  <si>
    <t>09178202854</t>
  </si>
  <si>
    <t>NOTE: PAMET Membership - not updated in the system</t>
  </si>
  <si>
    <t>Conrado Glicerio Jr.</t>
  </si>
  <si>
    <t>Garcellano</t>
  </si>
  <si>
    <t>Perez</t>
  </si>
  <si>
    <t>13743-78-Aa</t>
  </si>
  <si>
    <t>consperez3869@gmail.com</t>
  </si>
  <si>
    <t>https://drive.google.com/open?id=1JckUQyD6ciBwB4qDhWccp5068xFGugxm</t>
  </si>
  <si>
    <t>09675269872</t>
  </si>
  <si>
    <t>MERCEDES</t>
  </si>
  <si>
    <t>ALINDUGAN</t>
  </si>
  <si>
    <t>SANTOS</t>
  </si>
  <si>
    <t>7517-02-Ab</t>
  </si>
  <si>
    <t>chedsantos@gmail.com</t>
  </si>
  <si>
    <t>https://drive.google.com/open?id=1HVSjqhHa8LO027R3HuXCcu9MjZL1E7hj</t>
  </si>
  <si>
    <t>09228316099</t>
  </si>
  <si>
    <t>https://drive.google.com/open?id=1qo45mEh2BFwK7FKSGhTICq646XJyUEWG</t>
  </si>
  <si>
    <t>Annette</t>
  </si>
  <si>
    <t>Apostol</t>
  </si>
  <si>
    <t>Loresco</t>
  </si>
  <si>
    <t>8330-45-Ab</t>
  </si>
  <si>
    <t>PAMPANGA</t>
  </si>
  <si>
    <t>annetteapostol@gmail.com</t>
  </si>
  <si>
    <t>https://drive.google.com/open?id=1xmkhd-BUDelroorDXfVX9aYntfJnfMID</t>
  </si>
  <si>
    <t>09087180848</t>
  </si>
  <si>
    <t>JILL MARIE TRACEY</t>
  </si>
  <si>
    <t>BUAYA</t>
  </si>
  <si>
    <t>VALLES</t>
  </si>
  <si>
    <t>28879-38-Ab</t>
  </si>
  <si>
    <t>BOHOL</t>
  </si>
  <si>
    <t>jillmariebuaya94@gmail.com</t>
  </si>
  <si>
    <t>https://drive.google.com/open?id=1VlMy7tXprBWmxIUAu1dJQlN0MtBaqPM0</t>
  </si>
  <si>
    <t>09770323767</t>
  </si>
  <si>
    <t>Reggie</t>
  </si>
  <si>
    <t>Parayno</t>
  </si>
  <si>
    <t>13517-78-Ab</t>
  </si>
  <si>
    <t>Iegparayno@gmail.com</t>
  </si>
  <si>
    <t>https://drive.google.com/open?id=1M9LhOpT_cpINzc2Flm1FV6ANpiRvLjtP</t>
  </si>
  <si>
    <t>+639178088545</t>
  </si>
  <si>
    <t xml:space="preserve">HAEL LACHET </t>
  </si>
  <si>
    <t>LAVISTO</t>
  </si>
  <si>
    <t>GERMONES</t>
  </si>
  <si>
    <t>3727-52-Ab</t>
  </si>
  <si>
    <t>ALBAY</t>
  </si>
  <si>
    <t>haelgermones18@gmail.com</t>
  </si>
  <si>
    <t>https://drive.google.com/open?id=1JPpqGSefIV7Oz-xPwdpRXsOs-nIQR7qi</t>
  </si>
  <si>
    <t>09127978240</t>
  </si>
  <si>
    <t>Daisylyn</t>
  </si>
  <si>
    <t>Paguio</t>
  </si>
  <si>
    <t>Cuaresma</t>
  </si>
  <si>
    <t>2096-02-Ab</t>
  </si>
  <si>
    <t>N/A</t>
  </si>
  <si>
    <t>daizcuaresma03@gmail.com</t>
  </si>
  <si>
    <t>https://drive.google.com/open?id=1oSMrnEvh_i0LXjaYeRFT62Fy7jgCGv9x</t>
  </si>
  <si>
    <t>09178002293</t>
  </si>
  <si>
    <t>https://drive.google.com/open?id=1HhwqSL8qKXua0cphp910JeK5y26JHGxc</t>
  </si>
  <si>
    <t>JEANNETTE</t>
  </si>
  <si>
    <t>AUSTRIA</t>
  </si>
  <si>
    <t>ZABALZA</t>
  </si>
  <si>
    <t>7640-02-Ab</t>
  </si>
  <si>
    <t>zabalzajeannette@gmail.com</t>
  </si>
  <si>
    <t>https://drive.google.com/open?id=1W9_PZjsYAeWkPV25t8-i01Q1-Hkx8T07</t>
  </si>
  <si>
    <t>09761352485</t>
  </si>
  <si>
    <t>https://drive.google.com/open?id=1KTO7eR1hGggPBk0fbQTpwHHuph5Oe6AZ</t>
  </si>
  <si>
    <t xml:space="preserve">DOROTHY </t>
  </si>
  <si>
    <t>DAO-AS</t>
  </si>
  <si>
    <t>PAJARILLO</t>
  </si>
  <si>
    <t>19419-78-Aa</t>
  </si>
  <si>
    <t>dorothypajarillo7478@gmail.com</t>
  </si>
  <si>
    <t>https://drive.google.com/open?id=1vr9vp6oYYOD_dkdBnJ876rCO362QAJ8L</t>
  </si>
  <si>
    <t>09155777449</t>
  </si>
  <si>
    <t>Joanna Marie</t>
  </si>
  <si>
    <t>Mallillin</t>
  </si>
  <si>
    <t>Lappay</t>
  </si>
  <si>
    <t>28405-78-Aa</t>
  </si>
  <si>
    <t>mallillinjarie@gmail.com</t>
  </si>
  <si>
    <t>https://drive.google.com/open?id=1roSKxNCLmsRqW8p9aJyr4ZbJ75k_mLuP</t>
  </si>
  <si>
    <t>09602278237</t>
  </si>
  <si>
    <t>Mark</t>
  </si>
  <si>
    <t>Joaquin</t>
  </si>
  <si>
    <t>Bucayu</t>
  </si>
  <si>
    <t>61426-78-Ab</t>
  </si>
  <si>
    <t>bucayumark@gmail.com</t>
  </si>
  <si>
    <t>https://drive.google.com/open?id=18orYwsoX39IW2rZtGGbYIwm5veHk0fMB</t>
  </si>
  <si>
    <t>09050380478</t>
  </si>
  <si>
    <t>PIL GRACE</t>
  </si>
  <si>
    <t>SOLIVEN</t>
  </si>
  <si>
    <t>ANNANG</t>
  </si>
  <si>
    <t>6891-78-Aa</t>
  </si>
  <si>
    <t>pilgracesoliven@yahoo.com</t>
  </si>
  <si>
    <t>https://drive.google.com/open?id=17mAbt8xZYaO1TzguLsuhXv0K26vc8lDi</t>
  </si>
  <si>
    <t>09164606660</t>
  </si>
  <si>
    <t>Melinda</t>
  </si>
  <si>
    <t>Gue</t>
  </si>
  <si>
    <t>Imperio</t>
  </si>
  <si>
    <t>MISAMIS ORIENTAL-CAGAYAN DE ORO</t>
  </si>
  <si>
    <t>melin_imperio@yahoo.com</t>
  </si>
  <si>
    <t>https://drive.google.com/open?id=14WUQDHHIZW53E1SJZdrkaU_VzebuWcoC</t>
  </si>
  <si>
    <t>09278679492</t>
  </si>
  <si>
    <t>https://drive.google.com/open?id=1ReJKVb7RPRbOl_l7hfwsYfb6e2XFj_GV</t>
  </si>
  <si>
    <t>Ma Carmela</t>
  </si>
  <si>
    <t>Perigua</t>
  </si>
  <si>
    <t>Ditona</t>
  </si>
  <si>
    <t>dma.carmela@yahoo.com</t>
  </si>
  <si>
    <t>https://drive.google.com/open?id=1h2kbM7nn3WMC_6cnb35JtomPIK2CUPf0</t>
  </si>
  <si>
    <t>09173255843</t>
  </si>
  <si>
    <t>https://drive.google.com/open?id=1fS5u2Kg6m9koYr-6JQExdZpRy6qJByM9</t>
  </si>
  <si>
    <t>Sean Kyle</t>
  </si>
  <si>
    <t>Marqueza</t>
  </si>
  <si>
    <t>Catabay</t>
  </si>
  <si>
    <t>74320-02-Aa</t>
  </si>
  <si>
    <t>NCR</t>
  </si>
  <si>
    <t>wseancatabay@gmail.com</t>
  </si>
  <si>
    <t>https://drive.google.com/open?id=1PPk417-VtAXrrFLCpa89Oz4utg4K13h1</t>
  </si>
  <si>
    <t>09766761533</t>
  </si>
  <si>
    <t>JOHN CARLO</t>
  </si>
  <si>
    <t>MIJARES</t>
  </si>
  <si>
    <t>NOVENCIDO</t>
  </si>
  <si>
    <t>79504-02-Aa</t>
  </si>
  <si>
    <t>novencidojc@gmail.com</t>
  </si>
  <si>
    <t>https://drive.google.com/open?id=1__-PV0oM05lP41rzasjB4xAraJVpEDRU</t>
  </si>
  <si>
    <t>09983221402</t>
  </si>
  <si>
    <t>KRIZEL</t>
  </si>
  <si>
    <t>KHO</t>
  </si>
  <si>
    <t>JAVELLANA</t>
  </si>
  <si>
    <t>51184-34-Ab</t>
  </si>
  <si>
    <t>NEGROS OCCIDENTAL</t>
  </si>
  <si>
    <t>krizeljavellana@gmail.com</t>
  </si>
  <si>
    <t>https://drive.google.com/open?id=106mGuNtLk-roMtQmD43MNM0VXSMRCNgo</t>
  </si>
  <si>
    <t>09173294037</t>
  </si>
  <si>
    <t>Marinelle</t>
  </si>
  <si>
    <t>Tañada</t>
  </si>
  <si>
    <t>Verganio</t>
  </si>
  <si>
    <t>36674-42-Ab</t>
  </si>
  <si>
    <t>QUEZON</t>
  </si>
  <si>
    <t>marinelle0821@gmail.com</t>
  </si>
  <si>
    <t>https://drive.google.com/open?id=1IAiDGvxCu1ThpxX7e1TasvBuF7ezjbrA</t>
  </si>
  <si>
    <t>09179836166</t>
  </si>
  <si>
    <t>ARNEL</t>
  </si>
  <si>
    <t>REYES</t>
  </si>
  <si>
    <t>BALANLAYOS</t>
  </si>
  <si>
    <t>18669-54-Ab</t>
  </si>
  <si>
    <t>CAMARINES NORTE</t>
  </si>
  <si>
    <t>NEILBALANLAYOS@GMAIL.COM</t>
  </si>
  <si>
    <t>https://drive.google.com/open?id=1N_UwH_4WAthpdVi3YEgRVxG1CXA49oKE</t>
  </si>
  <si>
    <t>09178977440</t>
  </si>
  <si>
    <t>ISRAEL</t>
  </si>
  <si>
    <t>FETALCO</t>
  </si>
  <si>
    <t>FALLESGON</t>
  </si>
  <si>
    <t>3986-42-Ab</t>
  </si>
  <si>
    <t>makhrayl09@gmail.com</t>
  </si>
  <si>
    <t>https://drive.google.com/open?id=1V0o8r_jXutXCTvXptHS_ZUxF2WB1GSjk</t>
  </si>
  <si>
    <t>09082934763</t>
  </si>
  <si>
    <t>CHRISTOPHER II</t>
  </si>
  <si>
    <t>VILLAFLORES</t>
  </si>
  <si>
    <t>MUÑOZ</t>
  </si>
  <si>
    <t>39224-35-Ab</t>
  </si>
  <si>
    <t>NEGROS ORIENTAL-SIQUIJOR</t>
  </si>
  <si>
    <t>chrismun2011@gmail.com</t>
  </si>
  <si>
    <t>https://drive.google.com/open?id=1B37S7mWfWuNwG1d4yEBjEIWOJB7CcCIX</t>
  </si>
  <si>
    <t>09175523974</t>
  </si>
  <si>
    <t>MA. NOEDA</t>
  </si>
  <si>
    <t>ZERNA</t>
  </si>
  <si>
    <t>ROSALES</t>
  </si>
  <si>
    <t>39228-35-Ab</t>
  </si>
  <si>
    <t>kiahspartan41@gmail.com</t>
  </si>
  <si>
    <t>https://drive.google.com/open?id=1pxeYQ3kBxVfTZm7BqZe8vtN3BjxKjONO</t>
  </si>
  <si>
    <t>09524733632</t>
  </si>
  <si>
    <t>Andrei</t>
  </si>
  <si>
    <t>Gonzaga</t>
  </si>
  <si>
    <t>Urdaneta</t>
  </si>
  <si>
    <t>60201-54-Ab</t>
  </si>
  <si>
    <t>andreigonzagaurdaneta@gmail.com</t>
  </si>
  <si>
    <t>https://drive.google.com/open?id=10FkeO6O5rjA1WBSIxqNpbZC4WwauSe4g</t>
  </si>
  <si>
    <t>09464610450</t>
  </si>
  <si>
    <t>NERISSA</t>
  </si>
  <si>
    <t>JARDIEL</t>
  </si>
  <si>
    <t>ALCANTARA</t>
  </si>
  <si>
    <t>79517-44-Aa</t>
  </si>
  <si>
    <t>NUEVA ECIJA</t>
  </si>
  <si>
    <t>nerissa.alcantara18@gmail.com</t>
  </si>
  <si>
    <t>https://drive.google.com/open?id=1SFOiFkPvm7VkHd5KC8r5KBelcM3_MX3Q</t>
  </si>
  <si>
    <t>09179936892</t>
  </si>
  <si>
    <t xml:space="preserve">RIE </t>
  </si>
  <si>
    <t>TADIQUE</t>
  </si>
  <si>
    <t>79516-44-Aa</t>
  </si>
  <si>
    <t>rietadiquermt@gmail.com</t>
  </si>
  <si>
    <t>https://drive.google.com/open?id=1dQgi7Try_J6lbe9cnR6PqGNrp5edvw8i</t>
  </si>
  <si>
    <t>09059213345</t>
  </si>
  <si>
    <t>Kimberly Len</t>
  </si>
  <si>
    <t>Santiago</t>
  </si>
  <si>
    <t>Gocio</t>
  </si>
  <si>
    <t>51869-44-Ab</t>
  </si>
  <si>
    <t>kimgocio@gmail.com</t>
  </si>
  <si>
    <t>https://drive.google.com/open?id=1d_F6CLBbCH_3sgmrQtalpQV8DBT0uWUM</t>
  </si>
  <si>
    <t>09085271714</t>
  </si>
  <si>
    <t>https://drive.google.com/open?id=15qt01u0QwK0g7yLICtMkU2Kfeo2GsiXD</t>
  </si>
  <si>
    <t>GRACE</t>
  </si>
  <si>
    <t>BUGAGAO</t>
  </si>
  <si>
    <t>ECHANO</t>
  </si>
  <si>
    <t>18169-54-Ab</t>
  </si>
  <si>
    <t>gbechano8@gmail.com</t>
  </si>
  <si>
    <t>https://drive.google.com/open?id=19wvcEo6L_rLBM1qNxwUv-FC-7-Tw8yNZ</t>
  </si>
  <si>
    <t>09171582774</t>
  </si>
  <si>
    <t>DONNA MARIE</t>
  </si>
  <si>
    <t>MARCOS</t>
  </si>
  <si>
    <t>CALAOAGAN</t>
  </si>
  <si>
    <t>15899-77-Ab</t>
  </si>
  <si>
    <t>donna_mp_marcos@yahoo.com</t>
  </si>
  <si>
    <t>https://drive.google.com/open?id=1SjKIWOAvwzgiq9qOGxf94j1nazUuo3go</t>
  </si>
  <si>
    <t>09171670142</t>
  </si>
  <si>
    <t>Kristine Joy</t>
  </si>
  <si>
    <t>Matabang</t>
  </si>
  <si>
    <t>Aganus</t>
  </si>
  <si>
    <t>57178-77-Aa</t>
  </si>
  <si>
    <t>kristineaganus76@gmail.com</t>
  </si>
  <si>
    <t>https://drive.google.com/open?id=1NEV8TRR2ng2tLim5lcW-NIshR_uTi_4B</t>
  </si>
  <si>
    <t>09672345171</t>
  </si>
  <si>
    <t>JOHN MARK</t>
  </si>
  <si>
    <t>T.</t>
  </si>
  <si>
    <t>MARUQUIN</t>
  </si>
  <si>
    <t>14873-77Ab</t>
  </si>
  <si>
    <t>maruquin.rmt18@gmail.com</t>
  </si>
  <si>
    <t>https://drive.google.com/open?id=1IxBH_Ukt-eAs5knz4N4CZ5cYIcnYVS1z</t>
  </si>
  <si>
    <t>09778133180</t>
  </si>
  <si>
    <t>VISTAL</t>
  </si>
  <si>
    <t>JOVERO</t>
  </si>
  <si>
    <t>NIKKA MEA</t>
  </si>
  <si>
    <t>75055-88-Aa</t>
  </si>
  <si>
    <t>nikkavistal@gmail.com</t>
  </si>
  <si>
    <t>https://drive.google.com/open?id=1wtaaVgnS54rdLVChC7XKaLsTGFaJNpi2</t>
  </si>
  <si>
    <t>09619825413</t>
  </si>
  <si>
    <t>John Cayetano</t>
  </si>
  <si>
    <t>Briola</t>
  </si>
  <si>
    <t>Pineda</t>
  </si>
  <si>
    <t>33480-54-Ab</t>
  </si>
  <si>
    <t>johnpinedafinancials@gmail.com</t>
  </si>
  <si>
    <t>https://drive.google.com/open?id=1zxLNxwcWeEwXoJ200VEuB9-_nKwr8eid</t>
  </si>
  <si>
    <t>09630188416</t>
  </si>
  <si>
    <t xml:space="preserve">ARIANE JOY </t>
  </si>
  <si>
    <t>NAPOLES</t>
  </si>
  <si>
    <t>JIMENEZ</t>
  </si>
  <si>
    <t>33528-54-Ab</t>
  </si>
  <si>
    <t>427ajnj@gmail.com</t>
  </si>
  <si>
    <t>https://drive.google.com/open?id=1bWO1SuGdYzUqh8LFZhuDAi903Lf6X9ve</t>
  </si>
  <si>
    <t>09207731637</t>
  </si>
  <si>
    <t>Sharon rose</t>
  </si>
  <si>
    <t>Cagbay</t>
  </si>
  <si>
    <t>Fuentes</t>
  </si>
  <si>
    <t>15503-33-Ab</t>
  </si>
  <si>
    <t>fsharonrose@yahoo.com</t>
  </si>
  <si>
    <t>https://drive.google.com/open?id=1LYsTC1t29144YdiVQlfTpJSelmRRQinL</t>
  </si>
  <si>
    <t>09164086360</t>
  </si>
  <si>
    <t>https://drive.google.com/open?id=1VZic8DVDjLkoFE_q711Pj_J4eNubqAvQ</t>
  </si>
  <si>
    <t>Khristine</t>
  </si>
  <si>
    <t>Torres</t>
  </si>
  <si>
    <t>Moreno</t>
  </si>
  <si>
    <t>8576-42-Ab</t>
  </si>
  <si>
    <t>khrstn_torres@yahoo.com</t>
  </si>
  <si>
    <t>https://drive.google.com/open?id=1a9bCjSzimyIiFDaibwkf_UmaMXzz9L-v</t>
  </si>
  <si>
    <t>+639175771151</t>
  </si>
  <si>
    <t xml:space="preserve">Cristine Alysa </t>
  </si>
  <si>
    <t>Lamerez</t>
  </si>
  <si>
    <t>Riños</t>
  </si>
  <si>
    <t>60386-88-Ab</t>
  </si>
  <si>
    <t>rmtalysa79@gmail.com</t>
  </si>
  <si>
    <t>https://drive.google.com/open?id=1cxEVbsAvi-d8-VZgmIdgPXsgODXEbRJM</t>
  </si>
  <si>
    <t>09062647629</t>
  </si>
  <si>
    <t>Leo Bernard</t>
  </si>
  <si>
    <t>Caminata</t>
  </si>
  <si>
    <t>Pendon</t>
  </si>
  <si>
    <t>19584-33-Ab</t>
  </si>
  <si>
    <t>ocpplay@gmail.com</t>
  </si>
  <si>
    <t>https://drive.google.com/open?id=10XeMll7kgg0OjtSuDBtIzafW_r8Tce9l</t>
  </si>
  <si>
    <t>09338699798</t>
  </si>
  <si>
    <t>DENNISON</t>
  </si>
  <si>
    <t>BASA</t>
  </si>
  <si>
    <t>CATINDIG</t>
  </si>
  <si>
    <t>14763-77-Ab</t>
  </si>
  <si>
    <t>dhen.catindig@yahoo.com</t>
  </si>
  <si>
    <t>https://drive.google.com/open?id=1cxoK-y1aYtpfD1lzMwUOBEJg8qb22Th4</t>
  </si>
  <si>
    <t>09178091472</t>
  </si>
  <si>
    <t xml:space="preserve">RENA </t>
  </si>
  <si>
    <t>ESCARILLA</t>
  </si>
  <si>
    <t>DEL NORTE</t>
  </si>
  <si>
    <t>16796-33-AB</t>
  </si>
  <si>
    <t>renadelnorte0806@gmail.com</t>
  </si>
  <si>
    <t>https://drive.google.com/open?id=1vWbo9Xr_uZZAP0S5kDuGut-ZvlT-AhVc</t>
  </si>
  <si>
    <t>09185385936</t>
  </si>
  <si>
    <t xml:space="preserve">Clarisa </t>
  </si>
  <si>
    <t xml:space="preserve">Mayrina </t>
  </si>
  <si>
    <t xml:space="preserve">Mallari </t>
  </si>
  <si>
    <t>79567-45-Aa</t>
  </si>
  <si>
    <t xml:space="preserve">cvmclinlab@gmail.com </t>
  </si>
  <si>
    <t>https://drive.google.com/open?id=1tCyVgLb-vjTEMqoEivlgsipmJvYqNt54</t>
  </si>
  <si>
    <t>09175588323</t>
  </si>
  <si>
    <t xml:space="preserve">MANOLITO </t>
  </si>
  <si>
    <t>LAMPITOC</t>
  </si>
  <si>
    <t>DICULEN</t>
  </si>
  <si>
    <t>10822-77-Ab</t>
  </si>
  <si>
    <t>manolitoldiculen@gmail.com</t>
  </si>
  <si>
    <t>https://drive.google.com/open?id=1LjtdNS99W0dZWCxBscRE_9rddlQUCGrx</t>
  </si>
  <si>
    <t>09171159125</t>
  </si>
  <si>
    <t>BERNICE</t>
  </si>
  <si>
    <t>FRANCIA</t>
  </si>
  <si>
    <t>MENDOZA</t>
  </si>
  <si>
    <t>36647-42-Aa</t>
  </si>
  <si>
    <t>bernizm20@gmail.com</t>
  </si>
  <si>
    <t>https://drive.google.com/open?id=1Tq_OHjaqhP5tfhQCR2EjzKzIQY5-fF4C</t>
  </si>
  <si>
    <t>09235597273</t>
  </si>
  <si>
    <t>Merlie</t>
  </si>
  <si>
    <t>Segundino</t>
  </si>
  <si>
    <t>Santillan</t>
  </si>
  <si>
    <t>19653-38-Ab</t>
  </si>
  <si>
    <t>merlie271977@gmail.com</t>
  </si>
  <si>
    <t>https://drive.google.com/open?id=1QUVZiEmWSyNkJq1wOzu5_c-Mak4IHHYN</t>
  </si>
  <si>
    <t>09177048046</t>
  </si>
  <si>
    <t xml:space="preserve">RENE </t>
  </si>
  <si>
    <t>LADRASO</t>
  </si>
  <si>
    <t>MATEO</t>
  </si>
  <si>
    <t>12311-32-Aa</t>
  </si>
  <si>
    <t>CEBU</t>
  </si>
  <si>
    <t>rlmateo68@gmail.com</t>
  </si>
  <si>
    <t>https://drive.google.com/open?id=1ULWhD3nEeG6Z0F5Lkuejr_DgcgCAPlG0</t>
  </si>
  <si>
    <t>09674280303</t>
  </si>
  <si>
    <t>PRECILA</t>
  </si>
  <si>
    <t>PILLE</t>
  </si>
  <si>
    <t>GUINTO</t>
  </si>
  <si>
    <t>4168-54-Ab</t>
  </si>
  <si>
    <t>precilaguinto@gmail.com</t>
  </si>
  <si>
    <t>https://drive.google.com/open?id=1sfJIa11u0JFBwNgXZGYSvs1tLl7Kc7ie</t>
  </si>
  <si>
    <t>09176246693</t>
  </si>
  <si>
    <t>https://drive.google.com/open?id=1ObtS7P34zf4_38AssRiL8_W3pF4x_g_0</t>
  </si>
  <si>
    <t>Roi Hermoso</t>
  </si>
  <si>
    <t>Lago</t>
  </si>
  <si>
    <t>Sambas</t>
  </si>
  <si>
    <t>79501-88-Ab</t>
  </si>
  <si>
    <t>roi.prototype@gmail.com</t>
  </si>
  <si>
    <t>https://drive.google.com/open?id=1zhDj2ESic9QCjuAeKbGLTuh1082vaOpz</t>
  </si>
  <si>
    <t>09396742174 / 09671792804</t>
  </si>
  <si>
    <t>Fernando Jr.</t>
  </si>
  <si>
    <t>Tabarejo</t>
  </si>
  <si>
    <t>Basallote</t>
  </si>
  <si>
    <t>63498-88-Ab</t>
  </si>
  <si>
    <t>BUKIDNON</t>
  </si>
  <si>
    <t>dyyangevero@gmail.com</t>
  </si>
  <si>
    <t>https://drive.google.com/open?id=1sa_O-l9fN_SyTqSPECrrW3p6xlMj6oae</t>
  </si>
  <si>
    <t>(0917) 629 1925</t>
  </si>
  <si>
    <t xml:space="preserve">Arlene </t>
  </si>
  <si>
    <t>Pilapil</t>
  </si>
  <si>
    <t>De Castro</t>
  </si>
  <si>
    <t>7245-49-Ab</t>
  </si>
  <si>
    <t>LAGUNA</t>
  </si>
  <si>
    <t>arlenedecastro@cardmri.com</t>
  </si>
  <si>
    <t>https://drive.google.com/open?id=1ShUSy_Rbb88j4dGhnDYfX0xaYniWrvC_</t>
  </si>
  <si>
    <t>09485665960</t>
  </si>
  <si>
    <t>Lalie</t>
  </si>
  <si>
    <t>Montañano</t>
  </si>
  <si>
    <t>Nueva</t>
  </si>
  <si>
    <t>7246-49-Aa</t>
  </si>
  <si>
    <t>nuevalalie@gmail.com</t>
  </si>
  <si>
    <t>https://drive.google.com/open?id=1hPNTizVuRbBRyUdO8p-3_OFCU022g78n</t>
  </si>
  <si>
    <t>09167841276</t>
  </si>
  <si>
    <t>JILLIAN ISABELLE</t>
  </si>
  <si>
    <t>SENTINA</t>
  </si>
  <si>
    <t>JARDENIL</t>
  </si>
  <si>
    <t>58153-36-Ab</t>
  </si>
  <si>
    <t>ANTIQUE</t>
  </si>
  <si>
    <t>jillianisabelle48@gmail.com</t>
  </si>
  <si>
    <t>https://drive.google.com/open?id=1DOgQVWb-f0YJWV5jIGcopIVos3keKHG3</t>
  </si>
  <si>
    <t>09279440028</t>
  </si>
  <si>
    <t xml:space="preserve">Hannah Kathleen </t>
  </si>
  <si>
    <t>Bitamug</t>
  </si>
  <si>
    <t>Argal</t>
  </si>
  <si>
    <t>69633-78-Aa</t>
  </si>
  <si>
    <t>hannahkathleenargal22@gmail.com</t>
  </si>
  <si>
    <t>https://drive.google.com/open?id=1eEXYmPdpZasbzjmcj1yZyPRkCb7CTfbH</t>
  </si>
  <si>
    <t>09157782506</t>
  </si>
  <si>
    <t>Ma.Josephine</t>
  </si>
  <si>
    <t>Orolaza</t>
  </si>
  <si>
    <t>Gerardo</t>
  </si>
  <si>
    <t>69635-78-Aa</t>
  </si>
  <si>
    <t>majosephineg8@gmail.com</t>
  </si>
  <si>
    <t>https://drive.google.com/open?id=1zvJqC9DbZ199IHQU3Fq-KSqdPnfyypNX</t>
  </si>
  <si>
    <t>09164981482</t>
  </si>
  <si>
    <t>JOBHEL CHRISTY</t>
  </si>
  <si>
    <t>UMOSO</t>
  </si>
  <si>
    <t>ABAD</t>
  </si>
  <si>
    <t>69636-78-Aa</t>
  </si>
  <si>
    <t>12/31/0026</t>
  </si>
  <si>
    <t>jobhelchristyabad@gmail.com</t>
  </si>
  <si>
    <t>https://drive.google.com/open?id=1hMK2pnL14LCv3eUHDKrklKVor3Bw_xJZ</t>
  </si>
  <si>
    <t>09988428134</t>
  </si>
  <si>
    <t>FATIHA</t>
  </si>
  <si>
    <t>AMANON</t>
  </si>
  <si>
    <t>ALAMUDDIN</t>
  </si>
  <si>
    <t>13570-62-Ab</t>
  </si>
  <si>
    <t>ZAMBOANGA CITY</t>
  </si>
  <si>
    <t>fatihaalamuddin@gmail.com</t>
  </si>
  <si>
    <t>https://drive.google.com/open?id=1ItPN7yfu62v3dN5UPCfPnCXGcaZ4TtMA</t>
  </si>
  <si>
    <t>09525739335</t>
  </si>
  <si>
    <t>NILEVIER GINE</t>
  </si>
  <si>
    <t>BATOBALANI</t>
  </si>
  <si>
    <t>PAGDATO</t>
  </si>
  <si>
    <t>60272-38-Aa</t>
  </si>
  <si>
    <t>nilevierginebpagdato@gmail.com</t>
  </si>
  <si>
    <t>https://drive.google.com/open?id=1mTjxNbHqOkAdyV7h-rSOm09ugRhZ7zUN</t>
  </si>
  <si>
    <t>09059324159</t>
  </si>
  <si>
    <t>Elenabeth</t>
  </si>
  <si>
    <t>De Leon</t>
  </si>
  <si>
    <t>Nietes</t>
  </si>
  <si>
    <t>30313-02-Ab</t>
  </si>
  <si>
    <t>thebz_deleon@yahoo.com</t>
  </si>
  <si>
    <t>https://drive.google.com/open?id=1FZZ7tWQewZizs-T38N7le6d64Ne9DQ5D</t>
  </si>
  <si>
    <t>09989922382</t>
  </si>
  <si>
    <t>Payment Validation (pending)</t>
  </si>
  <si>
    <t>NOTE: Sponsorship: QUIDELORTHO</t>
  </si>
  <si>
    <t>Judy Ann</t>
  </si>
  <si>
    <t>Lulu</t>
  </si>
  <si>
    <t>Privado</t>
  </si>
  <si>
    <t>4548-02-Ab</t>
  </si>
  <si>
    <t>jlprivado@up.edu.ph</t>
  </si>
  <si>
    <t>https://drive.google.com/open?id=17EkGod0VFbiVBnqxFwK0IPnHOw7Vksdm</t>
  </si>
  <si>
    <t>09499952064</t>
  </si>
  <si>
    <t>Marie Jane</t>
  </si>
  <si>
    <t>Angeles</t>
  </si>
  <si>
    <t>Quiming</t>
  </si>
  <si>
    <t xml:space="preserve"> 79585-88-Aa</t>
  </si>
  <si>
    <t>mariejane.a.quiming@gmail.com</t>
  </si>
  <si>
    <t>https://drive.google.com/open?id=173ZexuHvugDkbD2qE61YuYpS6ZBNEwa9</t>
  </si>
  <si>
    <t>09171869997</t>
  </si>
  <si>
    <t>MARK JADE</t>
  </si>
  <si>
    <t>BANDONG</t>
  </si>
  <si>
    <t>DE VERA</t>
  </si>
  <si>
    <t>16454-02-Ab</t>
  </si>
  <si>
    <t>mbdevera5@up.edu.ph</t>
  </si>
  <si>
    <t>https://drive.google.com/open?id=1W65n5WN6ZoPIfU6xkOCCWeIF7ZzT4kJ9</t>
  </si>
  <si>
    <t>09088646746</t>
  </si>
  <si>
    <t>Betsy</t>
  </si>
  <si>
    <t>Barabona</t>
  </si>
  <si>
    <t>Montejo</t>
  </si>
  <si>
    <t>13026-49-Ab</t>
  </si>
  <si>
    <t>sey218@yahoo.com</t>
  </si>
  <si>
    <t>https://drive.google.com/open?id=1eIkeCjw7xN7F8Ii12r-WdYlOUke6_4UZ</t>
  </si>
  <si>
    <t>09951663092</t>
  </si>
  <si>
    <t>Vidalyn</t>
  </si>
  <si>
    <t>Ganangan</t>
  </si>
  <si>
    <t>Burgos-Bagsic</t>
  </si>
  <si>
    <t>34936-74-Ab</t>
  </si>
  <si>
    <t>BAGUIO-BENGUET-MT. PROVINCE</t>
  </si>
  <si>
    <t>dalyn3487@gmail.com</t>
  </si>
  <si>
    <t>https://drive.google.com/open?id=1UDy_SL-gaAjyqYxY0KVe982-Jk4HWHSZ</t>
  </si>
  <si>
    <t>09107832712</t>
  </si>
  <si>
    <t>Faisah</t>
  </si>
  <si>
    <t>Bombeo</t>
  </si>
  <si>
    <t>Magarang</t>
  </si>
  <si>
    <t>79584-88-Aa</t>
  </si>
  <si>
    <t>Tapmag.tm@gmail.com</t>
  </si>
  <si>
    <t>https://drive.google.com/open?id=1ESagnBoBDmDOv5WbEwl0ieuwzYqClZg7</t>
  </si>
  <si>
    <t>09058989837</t>
  </si>
  <si>
    <t>Maria Cedee</t>
  </si>
  <si>
    <t>Silorio</t>
  </si>
  <si>
    <t>Hojilla</t>
  </si>
  <si>
    <t>13086-33-Ab</t>
  </si>
  <si>
    <t>cedee_hojilla@yahoo.com</t>
  </si>
  <si>
    <t>https://drive.google.com/open?id=1M6zNtj9-Gwac3OHZlYtS3NeX-u_QwvrM</t>
  </si>
  <si>
    <t>09171652748</t>
  </si>
  <si>
    <t>Patrick</t>
  </si>
  <si>
    <t>Arcamo</t>
  </si>
  <si>
    <t>38105-38-Ab</t>
  </si>
  <si>
    <t>patarcamo@gmail.com</t>
  </si>
  <si>
    <t>https://drive.google.com/open?id=12Np-yW1Jk_PDSF2hq7m2veYFfOWHV08N</t>
  </si>
  <si>
    <t>09494155166</t>
  </si>
  <si>
    <t>Jackelyn</t>
  </si>
  <si>
    <t>Panilag</t>
  </si>
  <si>
    <t>Castaneda</t>
  </si>
  <si>
    <t>64157-38-Ab</t>
  </si>
  <si>
    <t>jackiepc36@gmail.com</t>
  </si>
  <si>
    <t>https://drive.google.com/open?id=1T2vSWi6rqOxz_Eby45pCZ3HOQSRZdAFO</t>
  </si>
  <si>
    <t>+639634488718</t>
  </si>
  <si>
    <t>EVELYN</t>
  </si>
  <si>
    <t>Gatbunton</t>
  </si>
  <si>
    <t>Mendaro</t>
  </si>
  <si>
    <t>39411-02-Aa</t>
  </si>
  <si>
    <t>evemendaro030810@gmail.com</t>
  </si>
  <si>
    <t>https://drive.google.com/open?id=1PGNX53nrRVqJienNeWSjhinHjW6MNtC2</t>
  </si>
  <si>
    <t>09192155861</t>
  </si>
  <si>
    <t>SPONSORED BY: QUIDELORTHO
NOTE: PAMET Membership - not updated in the system</t>
  </si>
  <si>
    <t>CHARITY JOYCE</t>
  </si>
  <si>
    <t>RAFOLS</t>
  </si>
  <si>
    <t>16808-36-Ab</t>
  </si>
  <si>
    <t>hamticrhulaboratory@gmail.com</t>
  </si>
  <si>
    <t>https://drive.google.com/open?id=1BLdO_cF6tGc-3uzZk5D_J_na-GB4wfQE</t>
  </si>
  <si>
    <t>09175882940</t>
  </si>
  <si>
    <t>ANNA LEAH</t>
  </si>
  <si>
    <t>HURGO</t>
  </si>
  <si>
    <t>MAGUAD</t>
  </si>
  <si>
    <t>60084-36-Ab</t>
  </si>
  <si>
    <t>ann12maguad@gmail.com</t>
  </si>
  <si>
    <t>https://drive.google.com/open?id=1wRX1959vkr0YKkhSvwyB2Ww1VnpUH4Xa</t>
  </si>
  <si>
    <t>09178940078</t>
  </si>
  <si>
    <t>PASTEUR MELO</t>
  </si>
  <si>
    <t>REYMUNDA</t>
  </si>
  <si>
    <t>CABUHAYAN</t>
  </si>
  <si>
    <t>58719-02-Ab</t>
  </si>
  <si>
    <t>pmcabuhayan@gmail.com</t>
  </si>
  <si>
    <t>https://drive.google.com/open?id=1Ou1oPdD8cxdFdkrup2ZBPD_fg9prNYO7</t>
  </si>
  <si>
    <t>09064068868</t>
  </si>
  <si>
    <t xml:space="preserve">Evelyn </t>
  </si>
  <si>
    <t>Roxas</t>
  </si>
  <si>
    <t>Aguilar</t>
  </si>
  <si>
    <t>15434-02-Ab</t>
  </si>
  <si>
    <t>marie041474@gmail.com</t>
  </si>
  <si>
    <t>https://drive.google.com/open?id=1vxrkE3J2IB0vcCkhVjjonjUCQYJfbojG</t>
  </si>
  <si>
    <t>09175988593</t>
  </si>
  <si>
    <t>NOTE: Sponsorship; Marsman Drysdale</t>
  </si>
  <si>
    <t>CHRYSTEL FAITH</t>
  </si>
  <si>
    <t>TACUEL</t>
  </si>
  <si>
    <t>EJERCITADO</t>
  </si>
  <si>
    <t>54294-33-Aa</t>
  </si>
  <si>
    <t>ctejercitado@up.edu.ph</t>
  </si>
  <si>
    <t>https://drive.google.com/open?id=1SNYSZHuvwSE9MrK4aLx4Rqt6DXG30GUV</t>
  </si>
  <si>
    <t>09369237814</t>
  </si>
  <si>
    <t>ARLENE</t>
  </si>
  <si>
    <t>AQUINO</t>
  </si>
  <si>
    <t>PASAHOL</t>
  </si>
  <si>
    <t>13543-45-Ab</t>
  </si>
  <si>
    <t>rlmmc.bb@gmail.com</t>
  </si>
  <si>
    <t>https://drive.google.com/open?id=1BAH2ep8QmMFAoPShbScwdcV_lv2tUuUr</t>
  </si>
  <si>
    <t>09610804494</t>
  </si>
  <si>
    <t>PERLA</t>
  </si>
  <si>
    <t>TORRECAMPO</t>
  </si>
  <si>
    <t>GARCIA</t>
  </si>
  <si>
    <t>15285-45-Ab</t>
  </si>
  <si>
    <t>ptgarcia1120@gmail.com</t>
  </si>
  <si>
    <t>https://drive.google.com/open?id=1H12ElJGvT5SIlgOKBdI-vLZde1KAoB0o</t>
  </si>
  <si>
    <t>LUCIA</t>
  </si>
  <si>
    <t>PERNITES</t>
  </si>
  <si>
    <t>VITUG</t>
  </si>
  <si>
    <t>13542-45-Ab</t>
  </si>
  <si>
    <t>sek14vitug@gmail.com</t>
  </si>
  <si>
    <t>https://drive.google.com/open?id=1V3iezckK-y8Lp_tYtcn0xgkdc29zRCzh</t>
  </si>
  <si>
    <t>09925358871</t>
  </si>
  <si>
    <t>https://drive.google.com/open?id=12rBvxu8arPjASXFYHAGB6KM4hi44h7ZP</t>
  </si>
  <si>
    <t>ALYANNA JANINE</t>
  </si>
  <si>
    <t>VILLAMIL</t>
  </si>
  <si>
    <t>DAVID</t>
  </si>
  <si>
    <t>24651-45-Ab</t>
  </si>
  <si>
    <t>ajvdrmt@gmail.com</t>
  </si>
  <si>
    <t>https://drive.google.com/open?id=173gbCzr25cTRCDI1VwApcFwTFzC6Bf2q</t>
  </si>
  <si>
    <t>Elmer</t>
  </si>
  <si>
    <t xml:space="preserve">Valdez </t>
  </si>
  <si>
    <t xml:space="preserve">Ordinaria </t>
  </si>
  <si>
    <t>NORTH COTABATO</t>
  </si>
  <si>
    <t>elmerordinaria7677@gmail.com</t>
  </si>
  <si>
    <t>https://drive.google.com/open?id=1MV9owIvLnw-2jeoJ8R7Tna4yJNlJL9MU</t>
  </si>
  <si>
    <t>09352805581</t>
  </si>
  <si>
    <t>NOTE: Approved to join (non-member)</t>
  </si>
  <si>
    <t>Marylou</t>
  </si>
  <si>
    <t>Capadosa</t>
  </si>
  <si>
    <t>Aspa</t>
  </si>
  <si>
    <t>00000-00-Ab</t>
  </si>
  <si>
    <t>aspamarylou@gmail.com</t>
  </si>
  <si>
    <t>https://drive.google.com/open?id=1fHpZq4-l4CGPvl2ZWG3Hah5_AkAePOQx</t>
  </si>
  <si>
    <t>09667541049</t>
  </si>
  <si>
    <t>Lovely Mae</t>
  </si>
  <si>
    <t>Valdez</t>
  </si>
  <si>
    <t xml:space="preserve">Cabilbigan </t>
  </si>
  <si>
    <t>63179-54-Ab</t>
  </si>
  <si>
    <t>lovelymae050795@gmail.com</t>
  </si>
  <si>
    <t>https://drive.google.com/open?id=1QCoR0qmNmyEh9z5jmdt7PHm9PsiL9IkC</t>
  </si>
  <si>
    <t>09551261295</t>
  </si>
  <si>
    <t>FLORICEL</t>
  </si>
  <si>
    <t>MALLARI</t>
  </si>
  <si>
    <t>EMVERDA</t>
  </si>
  <si>
    <t>18173-88-Aa</t>
  </si>
  <si>
    <t>fmemverda@my.mvc.edu.ph</t>
  </si>
  <si>
    <t>https://drive.google.com/open?id=1B18P7XcIQlDaE6n3xOhEEiBJx6CLoOEn</t>
  </si>
  <si>
    <t>09177094492</t>
  </si>
  <si>
    <t>Simonee</t>
  </si>
  <si>
    <t xml:space="preserve">Famacion </t>
  </si>
  <si>
    <t>Casagan</t>
  </si>
  <si>
    <t>71255-88-Aa</t>
  </si>
  <si>
    <t>simonee.casagan@gmail.com</t>
  </si>
  <si>
    <t>https://drive.google.com/open?id=1o5xqLrVn6QF8OY6Fs1GcVcqF_rrg_rR5</t>
  </si>
  <si>
    <t>09126490188</t>
  </si>
  <si>
    <t>ALMA</t>
  </si>
  <si>
    <t>REVAÑO</t>
  </si>
  <si>
    <t>RUBIA</t>
  </si>
  <si>
    <t>5289-02-Ab</t>
  </si>
  <si>
    <t>arrmt98@gmail.com</t>
  </si>
  <si>
    <t>https://drive.google.com/open?id=1fq_HnJoUq3IIAjJYMh7Ft3tpio2HwPzA</t>
  </si>
  <si>
    <t>09257033307</t>
  </si>
  <si>
    <t>Krist May</t>
  </si>
  <si>
    <t>Antonio</t>
  </si>
  <si>
    <t>Magbanua</t>
  </si>
  <si>
    <t>0091034</t>
  </si>
  <si>
    <t>kristmaymagbanua@gmail.com</t>
  </si>
  <si>
    <t>https://drive.google.com/open?id=1wEjp_Jl3DmoPLTDD4-nhMStRVnK5AdQN</t>
  </si>
  <si>
    <t>09706910641</t>
  </si>
  <si>
    <t>KAY</t>
  </si>
  <si>
    <t>CAMPOS</t>
  </si>
  <si>
    <t>PATORGO</t>
  </si>
  <si>
    <t>64314-85-Ab</t>
  </si>
  <si>
    <t>AGUSAN DEL NORTE-BUTUAN</t>
  </si>
  <si>
    <t>kcpatorgo@yahoo.com</t>
  </si>
  <si>
    <t>https://drive.google.com/open?id=1ZU0Omcdgi5xobcYjEbuADz5rM0tMWg3F</t>
  </si>
  <si>
    <t>09092305414</t>
  </si>
  <si>
    <t>MARIVIC VIVIAN</t>
  </si>
  <si>
    <t>BACANI</t>
  </si>
  <si>
    <t>MARTINEZ</t>
  </si>
  <si>
    <t>9105-52-Ab</t>
  </si>
  <si>
    <t>mvm_p7@yahoo.com.ph</t>
  </si>
  <si>
    <t>https://drive.google.com/open?id=17QMThiCns8GfROCFV4hZ16nAoG-fRhHB</t>
  </si>
  <si>
    <t>09662906850</t>
  </si>
  <si>
    <t>Alnor</t>
  </si>
  <si>
    <t>Rakila</t>
  </si>
  <si>
    <t>Talib</t>
  </si>
  <si>
    <t>21572-44-Ab</t>
  </si>
  <si>
    <t>LANAO DEL NORTE-ILIGAN</t>
  </si>
  <si>
    <t>alnortalib@gmail.com</t>
  </si>
  <si>
    <t>https://drive.google.com/open?id=18-KIvBxABdAURFwpkGbLJTygpTvzKXWa</t>
  </si>
  <si>
    <t>09062363270</t>
  </si>
  <si>
    <t>Shawn Keziah</t>
  </si>
  <si>
    <t>Piloton</t>
  </si>
  <si>
    <t>Cañete</t>
  </si>
  <si>
    <t>71299-88-Aa</t>
  </si>
  <si>
    <t>shawnkeziahcanete@gmail.com</t>
  </si>
  <si>
    <t>https://drive.google.com/open?id=1xNkKAGWXri9ASKz2Q2TrLGbjJ7Rviad8</t>
  </si>
  <si>
    <t>09625403737</t>
  </si>
  <si>
    <t>RAYAN</t>
  </si>
  <si>
    <t>SANGCOPAN</t>
  </si>
  <si>
    <t>COSARI</t>
  </si>
  <si>
    <t>27950-64-Ab</t>
  </si>
  <si>
    <t>LANAO DEL SUR-MARAWI</t>
  </si>
  <si>
    <t>rayancosari27@gmail.com</t>
  </si>
  <si>
    <t>https://drive.google.com/open?id=1kpJ8AfE4MS38DVos6w_9oFZXyE-C79sO</t>
  </si>
  <si>
    <t>09199423658</t>
  </si>
  <si>
    <t>Hasbiah</t>
  </si>
  <si>
    <t>Salic</t>
  </si>
  <si>
    <t>Comacasar</t>
  </si>
  <si>
    <t>18691-64-Ab</t>
  </si>
  <si>
    <t>hasbiahcomacasar@gmail.com</t>
  </si>
  <si>
    <t>https://drive.google.com/open?id=1FCi3c05tWQY3uX6xcvzlzP9yLnbIgAI1</t>
  </si>
  <si>
    <t>09507740236</t>
  </si>
  <si>
    <t>https://drive.google.com/open?id=1IvY-ZwRhbIXxgS15kGE-C5wGHcs0bjxI</t>
  </si>
  <si>
    <t>Abunaim</t>
  </si>
  <si>
    <t>Balt</t>
  </si>
  <si>
    <t>Datudacula</t>
  </si>
  <si>
    <t>53583-64-Ab</t>
  </si>
  <si>
    <t>sambaltdatudacula24@gmail.com</t>
  </si>
  <si>
    <t>https://drive.google.com/open?id=153EGvK3qBEUdTriNJZhd2uAaXPyYJAkA</t>
  </si>
  <si>
    <t>09203278858</t>
  </si>
  <si>
    <t>Aprilhyn</t>
  </si>
  <si>
    <t>Abes</t>
  </si>
  <si>
    <t>Morre</t>
  </si>
  <si>
    <t>53115-88-Ab</t>
  </si>
  <si>
    <t>aprilhynmorre@gmail.com</t>
  </si>
  <si>
    <t>https://drive.google.com/open?id=1RahUTGDqHmeS9_ybxiTS1qXPZgW8Si1a</t>
  </si>
  <si>
    <t>09278686032</t>
  </si>
  <si>
    <t>ANABEL</t>
  </si>
  <si>
    <t>TADO</t>
  </si>
  <si>
    <t>MAGDULA</t>
  </si>
  <si>
    <t>11404-88-Ab</t>
  </si>
  <si>
    <t>magdulaanabel@gmail.com</t>
  </si>
  <si>
    <t>https://drive.google.com/open?id=1cfa3u2ntHaT0oPp3f-d4LW9PCq4sl6x3</t>
  </si>
  <si>
    <t>09362591929</t>
  </si>
  <si>
    <t>JANE</t>
  </si>
  <si>
    <t>ACAPULCO</t>
  </si>
  <si>
    <t>LADESMA</t>
  </si>
  <si>
    <t>79701-88-Aa</t>
  </si>
  <si>
    <t>janenejladesma@gmail.com</t>
  </si>
  <si>
    <t>https://drive.google.com/open?id=17pGyp4sMt63MkpVXCaaqE7E7v3MCcUoY</t>
  </si>
  <si>
    <t>09924124893</t>
  </si>
  <si>
    <t>ABDULBAYAN</t>
  </si>
  <si>
    <t>BAYAO</t>
  </si>
  <si>
    <t>CANDAO JR.</t>
  </si>
  <si>
    <t>0048426</t>
  </si>
  <si>
    <t>COTABATO-MAGUINDANAO</t>
  </si>
  <si>
    <t>nhotcandao@gmail.com</t>
  </si>
  <si>
    <t>https://drive.google.com/open?id=1IhTZkPwvn3G1mRkoBqWmwpYYLoPi7WPF</t>
  </si>
  <si>
    <t>09564021897</t>
  </si>
  <si>
    <t>SPONSORED BY: GREPCOR</t>
  </si>
  <si>
    <t>ESAIRE JOMARI</t>
  </si>
  <si>
    <t>SANDOVAL</t>
  </si>
  <si>
    <t>71161-02-Aa</t>
  </si>
  <si>
    <t>jomarisando@gmail.com</t>
  </si>
  <si>
    <t>https://drive.google.com/open?id=1HQqWJxzB3UzzbqJtoI1OS8pAex2V00af</t>
  </si>
  <si>
    <t>0992-452-9933</t>
  </si>
  <si>
    <t>Gray Lavien</t>
  </si>
  <si>
    <t>Cortes</t>
  </si>
  <si>
    <t>Salvador</t>
  </si>
  <si>
    <t>MO2026-0038</t>
  </si>
  <si>
    <t>yanissalvador09@gmail.com</t>
  </si>
  <si>
    <t>https://drive.google.com/open?id=1X7Xd-OqKf1e4FrhkPnBsZFU1OCZUcrz3</t>
  </si>
  <si>
    <t>09971828086</t>
  </si>
  <si>
    <t>SPONSORED BY: SBSI</t>
  </si>
  <si>
    <t>JSTAD</t>
  </si>
  <si>
    <t>BATIGAS</t>
  </si>
  <si>
    <t>VILLANUEVA</t>
  </si>
  <si>
    <t>79390-88-Aa</t>
  </si>
  <si>
    <t>jstadvillanueva525@gmail.com</t>
  </si>
  <si>
    <t>https://drive.google.com/open?id=1ISS1U2hNGKITj7N4nfJaun8YKxdhOAVw</t>
  </si>
  <si>
    <t>09959819444</t>
  </si>
  <si>
    <t>REIN DONZEL</t>
  </si>
  <si>
    <t>EBDAO</t>
  </si>
  <si>
    <t>FABRICANTE</t>
  </si>
  <si>
    <t>79407-88-Aa</t>
  </si>
  <si>
    <t>reindonzel1020@gmail.com</t>
  </si>
  <si>
    <t>https://drive.google.com/open?id=1WPLKaxCpn09Hj9S_dyQcAe_9YwLe8cHG</t>
  </si>
  <si>
    <t>09952387178</t>
  </si>
  <si>
    <t>CHRISTIAN</t>
  </si>
  <si>
    <t>ORZALES</t>
  </si>
  <si>
    <t>GERMATA</t>
  </si>
  <si>
    <t>63500-86-Ab</t>
  </si>
  <si>
    <t>SURIGAO DEL NORTE</t>
  </si>
  <si>
    <t>germatachristian@gmail.com</t>
  </si>
  <si>
    <t>https://drive.google.com/open?id=1FkqGOhfRueEfiwznY1zpgFHtv9xjgTTS</t>
  </si>
  <si>
    <t>09192917215</t>
  </si>
  <si>
    <t>LOUVER</t>
  </si>
  <si>
    <t>JAMERO</t>
  </si>
  <si>
    <t>MORDENO</t>
  </si>
  <si>
    <t>8511-86-Ab</t>
  </si>
  <si>
    <t>germatachristian298@gmail.com</t>
  </si>
  <si>
    <t>https://drive.google.com/open?id=1Qj7mBx_7sLddz0tzXc8XfFek8r-rAlE_</t>
  </si>
  <si>
    <t>09475399654</t>
  </si>
  <si>
    <t>https://drive.google.com/open?id=1UIyDXwJj_A8fGcC4Lgg8aX5KHkrOxEBP</t>
  </si>
  <si>
    <t>SHARINA</t>
  </si>
  <si>
    <t>CALVO</t>
  </si>
  <si>
    <t>DIMALEN</t>
  </si>
  <si>
    <t>33385-64-aA</t>
  </si>
  <si>
    <t>sharinadimalen21@gmail.com</t>
  </si>
  <si>
    <t>https://drive.google.com/open?id=17WisTjbYEDOI3u2mLLZJixeRX2HlOchQ</t>
  </si>
  <si>
    <t>09493423429</t>
  </si>
  <si>
    <t>Aeman</t>
  </si>
  <si>
    <t>Iku</t>
  </si>
  <si>
    <t>Adjilani</t>
  </si>
  <si>
    <t>79508-62-Aa</t>
  </si>
  <si>
    <t>aemanikuadjilani@gmail.com</t>
  </si>
  <si>
    <t>https://drive.google.com/open?id=1XwDNilZZfGDERLHLFuUP98pcoZpxOTIt</t>
  </si>
  <si>
    <t>09067009940</t>
  </si>
  <si>
    <t>MIZZY ANN</t>
  </si>
  <si>
    <t>HASSAN</t>
  </si>
  <si>
    <t>HAJIM</t>
  </si>
  <si>
    <t xml:space="preserve"> 79521-62-Aa</t>
  </si>
  <si>
    <t>ZAMBOANGA DEL SUR</t>
  </si>
  <si>
    <t>mizzyhajim@gmail.com</t>
  </si>
  <si>
    <t>https://drive.google.com/open?id=10ZdaQ2_jAhO3GJOeBauHRNUgru63lhA4</t>
  </si>
  <si>
    <t>09536051896</t>
  </si>
  <si>
    <t>SHERHAN</t>
  </si>
  <si>
    <t>ABDULLAH</t>
  </si>
  <si>
    <t>LUGAYAK</t>
  </si>
  <si>
    <t>28552-64-Ab</t>
  </si>
  <si>
    <t>shrhnlgyk@gmail.com</t>
  </si>
  <si>
    <t>https://drive.google.com/open?id=1v_GuZEuqxTeE6fqp9Qlhyz0pyZH8IVSj</t>
  </si>
  <si>
    <t>09778277264</t>
  </si>
  <si>
    <t>Lovely Jean</t>
  </si>
  <si>
    <t>Cabanting</t>
  </si>
  <si>
    <t>Calumpag</t>
  </si>
  <si>
    <t>79536-82-Aa</t>
  </si>
  <si>
    <t>DAVAO CITY</t>
  </si>
  <si>
    <t>calumpaglovely@gmail.com</t>
  </si>
  <si>
    <t>https://drive.google.com/open?id=1PcB0q6TRYo8ngPp7s-pK-YRKuBQTMfut</t>
  </si>
  <si>
    <t>09319706029</t>
  </si>
  <si>
    <t>REGINE</t>
  </si>
  <si>
    <t>LUIS</t>
  </si>
  <si>
    <t>PACE</t>
  </si>
  <si>
    <t>61513-78-Ab</t>
  </si>
  <si>
    <t>ISABELA</t>
  </si>
  <si>
    <t>ginermt2019@gmail.com</t>
  </si>
  <si>
    <t>https://drive.google.com/open?id=1Bul2fFMLzvmWu2pEETKGWmsPxUVf6N5d</t>
  </si>
  <si>
    <t>+639156909476</t>
  </si>
  <si>
    <t>RONNIE</t>
  </si>
  <si>
    <t>NAVALLO</t>
  </si>
  <si>
    <t>ENTENIA</t>
  </si>
  <si>
    <t>24992-86-Ab</t>
  </si>
  <si>
    <t>enteniaronnie2@gmail.com</t>
  </si>
  <si>
    <t>https://drive.google.com/open?id=1575DHsaN16OL693CxCkQIoypT05fwWZM</t>
  </si>
  <si>
    <t>09171331883</t>
  </si>
  <si>
    <t>Justine</t>
  </si>
  <si>
    <t>Garcia</t>
  </si>
  <si>
    <t>Calvero</t>
  </si>
  <si>
    <t>79395-78-Aa</t>
  </si>
  <si>
    <t>calverojustine123@gmail.com</t>
  </si>
  <si>
    <t>https://drive.google.com/open?id=1NLiW1vd8b4Vygdn41uPrS2Rcdi3ZMXDR</t>
  </si>
  <si>
    <t>09558060106</t>
  </si>
  <si>
    <t>CHRISSEL MARIE</t>
  </si>
  <si>
    <t>ABEJUELA</t>
  </si>
  <si>
    <t>CAÑETE</t>
  </si>
  <si>
    <t>51456-88-Aa</t>
  </si>
  <si>
    <t>chrisselmarie@gmail.com</t>
  </si>
  <si>
    <t>https://drive.google.com/open?id=192npIIOw9AsROQaWLDI8S4slLAIoeuHA</t>
  </si>
  <si>
    <t>09608630770</t>
  </si>
  <si>
    <t>BRIDGETTE LYNN</t>
  </si>
  <si>
    <t>DOMINGO</t>
  </si>
  <si>
    <t>CAMPAÑERO</t>
  </si>
  <si>
    <t>77029-83-Aa</t>
  </si>
  <si>
    <t>SOCSKSARGEN</t>
  </si>
  <si>
    <t>bridgette.lynn0731@gmail.com</t>
  </si>
  <si>
    <t>https://drive.google.com/open?id=13HXEIob649DsH5URoLO-zTZPo-QQAHZn</t>
  </si>
  <si>
    <t>09052212202</t>
  </si>
  <si>
    <t>ROMELITA</t>
  </si>
  <si>
    <t>VILA</t>
  </si>
  <si>
    <t>SEVILLO</t>
  </si>
  <si>
    <t>11191-36-Ab</t>
  </si>
  <si>
    <t>mhetzy0331@gmail.com</t>
  </si>
  <si>
    <t>https://drive.google.com/open?id=16wpkouiXUuLGi_zgs_7Oe4XVJ61yldDX</t>
  </si>
  <si>
    <t>09190011462</t>
  </si>
  <si>
    <t>KENNETH</t>
  </si>
  <si>
    <t>ILDEFONSO</t>
  </si>
  <si>
    <t>ANTONIO</t>
  </si>
  <si>
    <t>14560-42-Ab</t>
  </si>
  <si>
    <t>kenneth.antonio.md@gmail.com</t>
  </si>
  <si>
    <t>https://drive.google.com/open?id=162LkSv0bKj-i0ujDdONSKa7EN9CUE8qX</t>
  </si>
  <si>
    <t>09176495004</t>
  </si>
  <si>
    <t>https://drive.google.com/open?id=1owbV9v0bK_oq77iz8veeRYnWnTxnwQ09</t>
  </si>
  <si>
    <t>FAIZAH</t>
  </si>
  <si>
    <t>MAMAO</t>
  </si>
  <si>
    <t>MUSTAPHA</t>
  </si>
  <si>
    <t>19374-64-Ab</t>
  </si>
  <si>
    <t>faizahmustapha99@gmail.com</t>
  </si>
  <si>
    <t>https://drive.google.com/open?id=1UhNdQFxlRj57NRRRnDFuKXaWpbh-EfuO</t>
  </si>
  <si>
    <t>09171673511</t>
  </si>
  <si>
    <t>REGINA COELI</t>
  </si>
  <si>
    <t>IBALE</t>
  </si>
  <si>
    <t>NALDO</t>
  </si>
  <si>
    <t>60980-52-Ab</t>
  </si>
  <si>
    <t>reginacoelinaldo@gmail.com</t>
  </si>
  <si>
    <t>https://drive.google.com/open?id=1ZIUiEPJPY-glFd2NTPmT1RXXCuLaKG9J</t>
  </si>
  <si>
    <t>09062301046</t>
  </si>
  <si>
    <t>Queenie</t>
  </si>
  <si>
    <t>Nabales</t>
  </si>
  <si>
    <t>Apepe</t>
  </si>
  <si>
    <t>q.apepe@yahoo.com</t>
  </si>
  <si>
    <t>https://drive.google.com/open?id=1B2d-PvKa6nHSxwe-0wjYlWWMtcfmzkix</t>
  </si>
  <si>
    <t>09277850499</t>
  </si>
  <si>
    <t>NOTE: NEW MEMBER NEWLY REGISTERED</t>
  </si>
  <si>
    <t>MYRA DIMPNA</t>
  </si>
  <si>
    <t>PAMITTAN</t>
  </si>
  <si>
    <t>CARIÑO</t>
  </si>
  <si>
    <t>24776-02-Ab</t>
  </si>
  <si>
    <t>sabrina15dc@yahoo.com</t>
  </si>
  <si>
    <t>https://drive.google.com/open?id=1t4PtsyGZlGbCNtCmayPCel0fwbf3PLfi</t>
  </si>
  <si>
    <t>09065136226</t>
  </si>
  <si>
    <t>Vincent</t>
  </si>
  <si>
    <t>Mina</t>
  </si>
  <si>
    <t>Abrena</t>
  </si>
  <si>
    <t>22348-02-Aa</t>
  </si>
  <si>
    <t>vincentabrena@gmail.com</t>
  </si>
  <si>
    <t>https://drive.google.com/open?id=16jSdjVd3km__dkomWhop5K8paclQ7vDb</t>
  </si>
  <si>
    <t>09175074534</t>
  </si>
  <si>
    <t>Jazmin</t>
  </si>
  <si>
    <t>Manalo</t>
  </si>
  <si>
    <t>Medina</t>
  </si>
  <si>
    <t>CAVITE</t>
  </si>
  <si>
    <t>jazminmanalomedina@gmail.com</t>
  </si>
  <si>
    <t>https://drive.google.com/open?id=1ubg_BFLg7oAwsIlK1ofu9oAKzKiN7LSf</t>
  </si>
  <si>
    <t>09178509626</t>
  </si>
  <si>
    <t>Alona</t>
  </si>
  <si>
    <t>Bautista</t>
  </si>
  <si>
    <t>Pascual</t>
  </si>
  <si>
    <t>18272-46-Ab</t>
  </si>
  <si>
    <t>alonapascual@yahoo.com</t>
  </si>
  <si>
    <t>https://drive.google.com/open?id=1HHW-vg7flvkd1ia59MmGSRk6m1vrO01M</t>
  </si>
  <si>
    <t>09084287697</t>
  </si>
  <si>
    <t>https://drive.google.com/open?id=1Gik5dy9IETQto3UueTvtZRHW1hAWL51-</t>
  </si>
  <si>
    <t>ELPIDIO</t>
  </si>
  <si>
    <t>VISAYA</t>
  </si>
  <si>
    <t>FORONDA</t>
  </si>
  <si>
    <t>63589-74-Ab</t>
  </si>
  <si>
    <t>forondaelpidio07@gmail.com</t>
  </si>
  <si>
    <t>https://drive.google.com/open?id=13_Hf_fLhRAnpNAQBmfXig08YQc2ApbUm</t>
  </si>
  <si>
    <t>09553292527</t>
  </si>
  <si>
    <t>IVY CHARLENE</t>
  </si>
  <si>
    <t>GAPAY</t>
  </si>
  <si>
    <t>MARTIN</t>
  </si>
  <si>
    <t>33963-74-Ab</t>
  </si>
  <si>
    <t>ivyrmt082014@gmail.com</t>
  </si>
  <si>
    <t>https://drive.google.com/open?id=18e_YjQbQKXUaAHDa1AqsvdHG-yIW-7Cq</t>
  </si>
  <si>
    <t>09956779290</t>
  </si>
  <si>
    <t>CHRISTENE GALEY</t>
  </si>
  <si>
    <t>SANICO</t>
  </si>
  <si>
    <t>CANTOR</t>
  </si>
  <si>
    <t>69701-78-Aa</t>
  </si>
  <si>
    <t>christenegaleycantorrmt@gmail.com</t>
  </si>
  <si>
    <t>https://drive.google.com/open?id=1Lj-EWH0fXAByHmVmyjq3o1HQbbDrmCE_</t>
  </si>
  <si>
    <t>09998809545</t>
  </si>
  <si>
    <t>Macy Anne</t>
  </si>
  <si>
    <t>Acag</t>
  </si>
  <si>
    <t>Discar</t>
  </si>
  <si>
    <t>61741-78-Aa</t>
  </si>
  <si>
    <t>macydiscar3@gmail.com</t>
  </si>
  <si>
    <t>https://drive.google.com/open?id=1U0feTIdCzffguu6LB8ggTi0Dy4wf1eBw</t>
  </si>
  <si>
    <t>0928 519 9908</t>
  </si>
  <si>
    <t>MA. CRISTINA</t>
  </si>
  <si>
    <t>PACTO</t>
  </si>
  <si>
    <t>PELINGON</t>
  </si>
  <si>
    <t>39007-36-Ab</t>
  </si>
  <si>
    <t>preciousemerald1216@gmail.com</t>
  </si>
  <si>
    <t>https://drive.google.com/open?id=1gIGRfYM_n0p3KxIi7oGnlbCMfAPv2OpG</t>
  </si>
  <si>
    <t>09973979644</t>
  </si>
  <si>
    <t>JENILYN</t>
  </si>
  <si>
    <t>CUNTAPAY</t>
  </si>
  <si>
    <t>DAWA</t>
  </si>
  <si>
    <t>24215-74-Ab</t>
  </si>
  <si>
    <t>jendawacmsh@gmail.com</t>
  </si>
  <si>
    <t>https://drive.google.com/open?id=12ASfC3f0HEuWISsfD6xXhY-PYlrmYf3W</t>
  </si>
  <si>
    <t>09759471970</t>
  </si>
  <si>
    <t>MARC KYLIE</t>
  </si>
  <si>
    <t>VALDEZ</t>
  </si>
  <si>
    <t>ULNAGAN</t>
  </si>
  <si>
    <t>68434-74-Aa</t>
  </si>
  <si>
    <t>ulnaganmarckylie@gmail.com</t>
  </si>
  <si>
    <t>https://drive.google.com/open?id=1W6G1txLgnzWFSxUTRGEdMYtVbUSElp2m</t>
  </si>
  <si>
    <t>09280795231</t>
  </si>
  <si>
    <t>Ronilyn</t>
  </si>
  <si>
    <t>Tongcua</t>
  </si>
  <si>
    <t>Cubio</t>
  </si>
  <si>
    <t>53426-48-Ab</t>
  </si>
  <si>
    <t>PALAWAN</t>
  </si>
  <si>
    <t>ronilyncubio@gmail.com</t>
  </si>
  <si>
    <t>https://drive.google.com/open?id=1XMd_Sstt1oJ3ilZWPpfGlYOM68CTRGPY</t>
  </si>
  <si>
    <t>09062147534</t>
  </si>
  <si>
    <t>Kerwin</t>
  </si>
  <si>
    <t>Viernes</t>
  </si>
  <si>
    <t>Calzada</t>
  </si>
  <si>
    <t>68438-78-Aa</t>
  </si>
  <si>
    <t>kekerwin26@gmail.com</t>
  </si>
  <si>
    <t>https://drive.google.com/open?id=1psTVEnMnNAs1rNYk_JCDmCa_kn_p4A5J</t>
  </si>
  <si>
    <t>09364485160</t>
  </si>
  <si>
    <t>Scarlet Gay II</t>
  </si>
  <si>
    <t>Sabuero</t>
  </si>
  <si>
    <t>Pastor</t>
  </si>
  <si>
    <t>53929-65-Ab</t>
  </si>
  <si>
    <t>ZAMBOANGA DEL NORTE</t>
  </si>
  <si>
    <t>pscarletgayii@gmail.com</t>
  </si>
  <si>
    <t>https://drive.google.com/open?id=1khWNkoQ6ASs4uvswvS4aqU83-AeM100O</t>
  </si>
  <si>
    <t>09759721928</t>
  </si>
  <si>
    <t xml:space="preserve">JOYLEN MARIE </t>
  </si>
  <si>
    <t>PALERMO</t>
  </si>
  <si>
    <t>ORACION</t>
  </si>
  <si>
    <t>67658-48-Aa</t>
  </si>
  <si>
    <t>joylenmpo@gmail.com</t>
  </si>
  <si>
    <t>https://drive.google.com/open?id=1oG7Mj51_r4H47Ry1n8EdiayEXhmyATht</t>
  </si>
  <si>
    <t>09154857678</t>
  </si>
  <si>
    <t>Norhaylah</t>
  </si>
  <si>
    <t>Pandapatan</t>
  </si>
  <si>
    <t>Macalangcom</t>
  </si>
  <si>
    <t>38744-64-Ab</t>
  </si>
  <si>
    <t>ofranrmt@gmail.com</t>
  </si>
  <si>
    <t>https://drive.google.com/open?id=16eQOCIRvByYVtYh-BqJJYyhhpmjKhZX6</t>
  </si>
  <si>
    <t>09194496874</t>
  </si>
  <si>
    <t>BABY NORMITA</t>
  </si>
  <si>
    <t>SOTELA</t>
  </si>
  <si>
    <t>CLAUDIO</t>
  </si>
  <si>
    <t>79721-02-Aa</t>
  </si>
  <si>
    <t>normiclaudio@yahoo.com</t>
  </si>
  <si>
    <t>https://drive.google.com/open?id=1t1bXms0kRC9mmFHJwGFLUTfLXL-pUEQj</t>
  </si>
  <si>
    <t>09258840381</t>
  </si>
  <si>
    <t>SPONSORED BY: QUIDELORTHO</t>
  </si>
  <si>
    <t>IRISH</t>
  </si>
  <si>
    <t>CRUZ</t>
  </si>
  <si>
    <t>SAMBRANO</t>
  </si>
  <si>
    <t>64822-46-Aa</t>
  </si>
  <si>
    <t>irish.sambrano08@gmail.com</t>
  </si>
  <si>
    <t>https://drive.google.com/open?id=15f0mx-9G4DgbhdUFuqkzJhqiMRwXqlE6</t>
  </si>
  <si>
    <t>09275342076</t>
  </si>
  <si>
    <t>DANIECA</t>
  </si>
  <si>
    <t>VIERNES</t>
  </si>
  <si>
    <t>FERNANDEZ</t>
  </si>
  <si>
    <t>65245-78-Aa</t>
  </si>
  <si>
    <t>fernandezdanieca011@gmail.com</t>
  </si>
  <si>
    <t>https://drive.google.com/open?id=1FpiAh5_Bw81ZW3QKzoMo6Awb1kue-ayd</t>
  </si>
  <si>
    <t>09653311879</t>
  </si>
  <si>
    <t>Militante</t>
  </si>
  <si>
    <t>Rubin</t>
  </si>
  <si>
    <t>9020-88-Ab</t>
  </si>
  <si>
    <t>rubinmerlie@gmail.com</t>
  </si>
  <si>
    <t>https://drive.google.com/open?id=1fyJYCBq53kfAx3_I4CcqjUApqE76Ycdk</t>
  </si>
  <si>
    <t>09284638932</t>
  </si>
  <si>
    <t>SPONSORED BY: ZAFIRE DISTRIBUTORS INC</t>
  </si>
  <si>
    <t>APRIL ROSE</t>
  </si>
  <si>
    <t>JARDINAN</t>
  </si>
  <si>
    <t>REGENCIA</t>
  </si>
  <si>
    <t>19051-42-Ab</t>
  </si>
  <si>
    <t>aprilroseregencia22@gmail.com</t>
  </si>
  <si>
    <t>https://drive.google.com/open?id=1IVljsfKblCKaiC4rkDzv2OoIZqm__oaR</t>
  </si>
  <si>
    <t>09066735872</t>
  </si>
  <si>
    <t xml:space="preserve">Reynaldo </t>
  </si>
  <si>
    <t>Maray</t>
  </si>
  <si>
    <t xml:space="preserve">Pedere </t>
  </si>
  <si>
    <t>5885-53-Ab</t>
  </si>
  <si>
    <t>LEYTE-BILIRAN</t>
  </si>
  <si>
    <t>reynaldompedere@gmail.com</t>
  </si>
  <si>
    <t>https://drive.google.com/open?id=1lJMLlIgGD-kR-GR1Dy3uhXtKXpmSQdWW</t>
  </si>
  <si>
    <t>09275504217</t>
  </si>
  <si>
    <t>RHAYA COLEEN</t>
  </si>
  <si>
    <t>MAESTRE</t>
  </si>
  <si>
    <t>MONTECIR</t>
  </si>
  <si>
    <t>79505-88-Aa</t>
  </si>
  <si>
    <t>maestrerhayacoleen@gmail.com</t>
  </si>
  <si>
    <t>https://drive.google.com/open?id=1Q7X8sI-zbO6o_awKTHfjUPrr-Vec-0Rz</t>
  </si>
  <si>
    <t>09916310708</t>
  </si>
  <si>
    <t>CEANLE</t>
  </si>
  <si>
    <t>CERNIAS</t>
  </si>
  <si>
    <t>TRAZA</t>
  </si>
  <si>
    <t>79500-88-Aa</t>
  </si>
  <si>
    <t>elnaecsainrec@gmail.com</t>
  </si>
  <si>
    <t>https://drive.google.com/open?id=1tKNRbOZj0ysh2ksoBEunR4S13TPU0vBw</t>
  </si>
  <si>
    <t>09088619336</t>
  </si>
  <si>
    <t xml:space="preserve">Aileen </t>
  </si>
  <si>
    <t xml:space="preserve">Cornejo </t>
  </si>
  <si>
    <t xml:space="preserve">Atienza </t>
  </si>
  <si>
    <t>24218-78-Ab</t>
  </si>
  <si>
    <t xml:space="preserve">aileenatienza.ergmc@gmail.com </t>
  </si>
  <si>
    <t>https://drive.google.com/open?id=1vztJ2bC_vMi9OvuUyJWwMomjceKINLjG</t>
  </si>
  <si>
    <t>09363821088</t>
  </si>
  <si>
    <t xml:space="preserve"> BEN</t>
  </si>
  <si>
    <t>DEREQUITO</t>
  </si>
  <si>
    <t>SARABIA</t>
  </si>
  <si>
    <t>78374-88-Aa</t>
  </si>
  <si>
    <t>MISAMIS OCCIDENTAL</t>
  </si>
  <si>
    <t>BENSARABIA@GMAIL.COM</t>
  </si>
  <si>
    <t>https://drive.google.com/open?id=1727FqsjKbDdMVvjn9uERQbR1rcL9t_Rj</t>
  </si>
  <si>
    <t>09173964980</t>
  </si>
  <si>
    <t>Jaime</t>
  </si>
  <si>
    <t>Tacgos</t>
  </si>
  <si>
    <t>Magdula</t>
  </si>
  <si>
    <t>“11405-88-Ab”</t>
  </si>
  <si>
    <t>magdulajaime1970@gmail.com</t>
  </si>
  <si>
    <t>https://drive.google.com/open?id=1D0YpBYcBxMnsri2dvZ4eUzGm3T9rNmzH</t>
  </si>
  <si>
    <t>09178803987</t>
  </si>
  <si>
    <t>JOSELLE</t>
  </si>
  <si>
    <t>NOBLEZA</t>
  </si>
  <si>
    <t>EALDAMA</t>
  </si>
  <si>
    <t>8658-34-Av</t>
  </si>
  <si>
    <t>jnealdama13@gmail.com</t>
  </si>
  <si>
    <t>https://drive.google.com/open?id=1MslTCoiUJy7aqGvqisH-UIZ25PYqWJpn</t>
  </si>
  <si>
    <t>0918-9446856</t>
  </si>
  <si>
    <t>https://drive.google.com/open?id=15j6eqR5UriUXw576O-E1VyEA9MvvNvGu</t>
  </si>
  <si>
    <t xml:space="preserve">Ma. Sylvia </t>
  </si>
  <si>
    <t>Lanaca</t>
  </si>
  <si>
    <t>Azurin</t>
  </si>
  <si>
    <t>8657-34-Ab</t>
  </si>
  <si>
    <t>azurinmasylvia2018@gmail.com</t>
  </si>
  <si>
    <t>https://drive.google.com/open?id=1TowpVjZgjU56fbWjEpML9Otxn-ihYhTS</t>
  </si>
  <si>
    <t>09173228034</t>
  </si>
  <si>
    <t>https://drive.google.com/open?id=11HOtuGPvpLtpZmxujQPZWeOyPYEhyrQz</t>
  </si>
  <si>
    <t xml:space="preserve">SPONSORED BY: NEGROS OCCIDENTAL </t>
  </si>
  <si>
    <t>Mar Lee</t>
  </si>
  <si>
    <t xml:space="preserve">Hiponia </t>
  </si>
  <si>
    <t xml:space="preserve">Magbanua </t>
  </si>
  <si>
    <t>10454-34-Ab</t>
  </si>
  <si>
    <t>amazingmarlee001@gmail.com</t>
  </si>
  <si>
    <t>https://drive.google.com/open?id=1DgBx2kbD1_GpecEqjFuEbu7OgJkuwvM1</t>
  </si>
  <si>
    <t>09171371389</t>
  </si>
  <si>
    <t>Louela</t>
  </si>
  <si>
    <t>Balinas</t>
  </si>
  <si>
    <t>Ganancial</t>
  </si>
  <si>
    <t>27924-34-Ab</t>
  </si>
  <si>
    <t>louela.ganancialrmt@gmail.com</t>
  </si>
  <si>
    <t>https://drive.google.com/open?id=1PzhRvnRVxH8T4m4GG_BCZCfgENUfjgtO</t>
  </si>
  <si>
    <t>09630251968</t>
  </si>
  <si>
    <t>GEMMA</t>
  </si>
  <si>
    <t>BANOGON</t>
  </si>
  <si>
    <t>DE LOS REYES</t>
  </si>
  <si>
    <t>15177-34-Ab</t>
  </si>
  <si>
    <t>cv929gbd@yahoo.com.ph</t>
  </si>
  <si>
    <t>https://drive.google.com/open?id=1IBrFew3WIUkiA6YQ_kWgTxV_NyQw7pTE</t>
  </si>
  <si>
    <t>09293528426</t>
  </si>
  <si>
    <t>CHARIE MAE</t>
  </si>
  <si>
    <t>GALLARDE</t>
  </si>
  <si>
    <t>79841-88-Aa</t>
  </si>
  <si>
    <t>gallardechariemae@gmail.com</t>
  </si>
  <si>
    <t>https://drive.google.com/open?id=1X4wrfjoxmVdZZbSaK9OCE4Vkx-m9xdCl</t>
  </si>
  <si>
    <t>09559551724</t>
  </si>
  <si>
    <t>MA. ROSARIO</t>
  </si>
  <si>
    <t>TADIFA</t>
  </si>
  <si>
    <t>AGOJO</t>
  </si>
  <si>
    <t>10980-36-Ab</t>
  </si>
  <si>
    <t>CAPIZ</t>
  </si>
  <si>
    <t>rosario.agojo@redcross.org.ph</t>
  </si>
  <si>
    <t>https://drive.google.com/open?id=1-yrxCLetNWOrDekFTWvizUji_agILjTK</t>
  </si>
  <si>
    <t>09285511630</t>
  </si>
  <si>
    <t>Christine Leonor</t>
  </si>
  <si>
    <t>Delfin</t>
  </si>
  <si>
    <t>Yam-oc</t>
  </si>
  <si>
    <t>79807-88-Aa</t>
  </si>
  <si>
    <t>ychristineleonor@gmail.com</t>
  </si>
  <si>
    <t>https://drive.google.com/open?id=1LIKCJDQgTlSG_7cnfloaiAzKUrLjltQh</t>
  </si>
  <si>
    <t>09454006685</t>
  </si>
  <si>
    <t>Vina Marie</t>
  </si>
  <si>
    <t>Castro</t>
  </si>
  <si>
    <t>Advento</t>
  </si>
  <si>
    <t>18982-49-Aa</t>
  </si>
  <si>
    <t>adventovinamarie@gmail.com</t>
  </si>
  <si>
    <t>https://drive.google.com/open?id=1uNMrzh3axNUpF53adRdY7ucTSp0JxWzN</t>
  </si>
  <si>
    <t>09995806690</t>
  </si>
  <si>
    <t>Maristella</t>
  </si>
  <si>
    <t>Roque</t>
  </si>
  <si>
    <t>9256-49-Aa</t>
  </si>
  <si>
    <t>deleonmaristella@gmail.com</t>
  </si>
  <si>
    <t>https://drive.google.com/open?id=18eOiRstF92JjkWhRwMkUL7QB088kZThR</t>
  </si>
  <si>
    <t>0915-7504116</t>
  </si>
  <si>
    <t>MARICAR</t>
  </si>
  <si>
    <t>TONDARES</t>
  </si>
  <si>
    <t>JULIAN</t>
  </si>
  <si>
    <t>6544-36-Ab</t>
  </si>
  <si>
    <t>carsantiago@ymail.com</t>
  </si>
  <si>
    <t>https://drive.google.com/open?id=1AJ-1skMDVXpZHbDl37LEplzjcIcKh4bi</t>
  </si>
  <si>
    <t>09985541514</t>
  </si>
  <si>
    <t>Raymund</t>
  </si>
  <si>
    <t>Monera</t>
  </si>
  <si>
    <t>Tecson</t>
  </si>
  <si>
    <t>raymundjaketecson@gmail.com</t>
  </si>
  <si>
    <t>https://drive.google.com/open?id=1htT2gyOsDpeE9ASjvxvLP4d8vn2FZS1c</t>
  </si>
  <si>
    <t>09171008539</t>
  </si>
  <si>
    <t>Karl</t>
  </si>
  <si>
    <t>Zamar</t>
  </si>
  <si>
    <t>Bravo</t>
  </si>
  <si>
    <t>31746-34-Ab</t>
  </si>
  <si>
    <t>Kharl.KB@gmail.com</t>
  </si>
  <si>
    <t>https://drive.google.com/open?id=1-D8AaFiWSTqJkFPoy3QdFbDKb8q3mdzT</t>
  </si>
  <si>
    <t>09175044517</t>
  </si>
  <si>
    <t>https://drive.google.com/open?id=18x8t6zanMGYrTxvo5vfIfuiuVSafbcag</t>
  </si>
  <si>
    <t>PALACIOS</t>
  </si>
  <si>
    <t>MARY ROSALYN</t>
  </si>
  <si>
    <t>63925-34-Ab</t>
  </si>
  <si>
    <t>mrpalacios1610@gmail.com</t>
  </si>
  <si>
    <t>https://drive.google.com/open?id=11GsgeZuFKTXlWfDhZNCSKsrRZ9G1ExPU</t>
  </si>
  <si>
    <t>09927337929</t>
  </si>
  <si>
    <t>JOCELYN</t>
  </si>
  <si>
    <t>JARIOL</t>
  </si>
  <si>
    <t>OLARIO</t>
  </si>
  <si>
    <t>olario.juicy@gmail.com</t>
  </si>
  <si>
    <t>https://drive.google.com/open?id=1xt4JgidFn3Fbh-uUL7ofWuyX6XcC3MSe</t>
  </si>
  <si>
    <t>09050352113</t>
  </si>
  <si>
    <t>Janeth</t>
  </si>
  <si>
    <t>Garrucho</t>
  </si>
  <si>
    <t>Camasura</t>
  </si>
  <si>
    <t>79518-88-Aa</t>
  </si>
  <si>
    <t>jan1490camasura@gmail.com</t>
  </si>
  <si>
    <t>https://drive.google.com/open?id=1hTCWcfnNhFDP3wO4XL0gdCT8WfDoYvl3</t>
  </si>
  <si>
    <t>09159816330</t>
  </si>
  <si>
    <t>JOSE ALLAN</t>
  </si>
  <si>
    <t>ESPANTON</t>
  </si>
  <si>
    <t>ARGUELLES</t>
  </si>
  <si>
    <t>34917-34-Ab</t>
  </si>
  <si>
    <t>joseallanarguelles104@gmail.com</t>
  </si>
  <si>
    <t>https://drive.google.com/open?id=1MRoQlPDp1BEYNB9drJjARDZzhq3T1y_Y</t>
  </si>
  <si>
    <t>09773147306</t>
  </si>
  <si>
    <t xml:space="preserve">Allan </t>
  </si>
  <si>
    <t xml:space="preserve">Magallanes </t>
  </si>
  <si>
    <t xml:space="preserve">Benjamin </t>
  </si>
  <si>
    <t>6613-34-Ab</t>
  </si>
  <si>
    <t>kambal.kapid@gmail.com</t>
  </si>
  <si>
    <t>https://drive.google.com/open?id=1J1-o8aFq6e-JNX8SBZMQnKar0ogcuI4q</t>
  </si>
  <si>
    <t>09291386723</t>
  </si>
  <si>
    <t>https://drive.google.com/open?id=1oAitdvG6NlyVWitTiivLy85NbzYytLzU</t>
  </si>
  <si>
    <t>JAY NOLAN</t>
  </si>
  <si>
    <t>JAÑALA</t>
  </si>
  <si>
    <t>ALONSABE</t>
  </si>
  <si>
    <t>53648-33-Ab</t>
  </si>
  <si>
    <t>jnjalonsabe@gmail.com</t>
  </si>
  <si>
    <t>https://drive.google.com/open?id=1j9WRBSJ1v_pUMWGaHapgkt8CF4I7hE4f</t>
  </si>
  <si>
    <t>09283408911</t>
  </si>
  <si>
    <t>Maylyn</t>
  </si>
  <si>
    <t>Bontilao</t>
  </si>
  <si>
    <t>Cagas</t>
  </si>
  <si>
    <t>22758-88-Ab</t>
  </si>
  <si>
    <t>maytwee@yahoo.com</t>
  </si>
  <si>
    <t>https://drive.google.com/open?id=1U_rb4zmNVflxCNtFMapMFYvDkLozMeAk</t>
  </si>
  <si>
    <t>09499910645</t>
  </si>
  <si>
    <t xml:space="preserve">Lennie </t>
  </si>
  <si>
    <t xml:space="preserve">Capitle </t>
  </si>
  <si>
    <t xml:space="preserve">De Guzman </t>
  </si>
  <si>
    <t>15635-75-Ab</t>
  </si>
  <si>
    <t>PANGASINAN</t>
  </si>
  <si>
    <t>lennie_dguzman@yahoo.com</t>
  </si>
  <si>
    <t>https://drive.google.com/open?id=1v-Uh55MSrvzQRi8bX5xWXw9FZ9P66V8v</t>
  </si>
  <si>
    <t>09330569988</t>
  </si>
  <si>
    <t>Eva Rose</t>
  </si>
  <si>
    <t>Lomibao</t>
  </si>
  <si>
    <t>Frias</t>
  </si>
  <si>
    <t>58169-75-Ab</t>
  </si>
  <si>
    <t>friasevarose988@gmail.com</t>
  </si>
  <si>
    <t>https://drive.google.com/open?id=1oFyAnfl-OEnfPGbxcEFAN_2OtlMFykX8</t>
  </si>
  <si>
    <t>09454214966</t>
  </si>
  <si>
    <t xml:space="preserve">VANESSA JEANE </t>
  </si>
  <si>
    <t>ALDAMIA</t>
  </si>
  <si>
    <t>BACAREZA</t>
  </si>
  <si>
    <t>40393-88-Ab</t>
  </si>
  <si>
    <t>vanessajeaneb@gmail.com</t>
  </si>
  <si>
    <t>https://drive.google.com/open?id=1SKgKjM4ASbEZj5dBEg5A8tT5e_7WXYUL</t>
  </si>
  <si>
    <t>09309808535</t>
  </si>
  <si>
    <t>Maricar Joy</t>
  </si>
  <si>
    <t>Barcelon</t>
  </si>
  <si>
    <t xml:space="preserve">Gargarita </t>
  </si>
  <si>
    <t>17009-33-Ab</t>
  </si>
  <si>
    <t>carrgargarita14@gmail.com</t>
  </si>
  <si>
    <t>https://drive.google.com/open?id=1ekhlhNAan9c-SsGE7vaxzf1BqkisjKaU</t>
  </si>
  <si>
    <t>09286878061</t>
  </si>
  <si>
    <t xml:space="preserve">Debbie Rose </t>
  </si>
  <si>
    <t>Canto</t>
  </si>
  <si>
    <t>Vego</t>
  </si>
  <si>
    <t>27812-33-Aa</t>
  </si>
  <si>
    <t>debbierose128@gmail.com</t>
  </si>
  <si>
    <t>https://drive.google.com/open?id=1Nwmm7lkc0vlcC9pMIZ1lQ02DIOflk8fg</t>
  </si>
  <si>
    <t>09155974242</t>
  </si>
  <si>
    <t>Cairon Zaman</t>
  </si>
  <si>
    <t>Disomimba</t>
  </si>
  <si>
    <t>Solaiman</t>
  </si>
  <si>
    <t>74378-88-Aa</t>
  </si>
  <si>
    <t>solaimancaironzaman@gmail.com</t>
  </si>
  <si>
    <t>https://drive.google.com/open?id=1QmPHotOYd8Fuy0Av-48h4NZKN1GY_bpM</t>
  </si>
  <si>
    <t>09274055654</t>
  </si>
  <si>
    <t>CARYL</t>
  </si>
  <si>
    <t>PANES</t>
  </si>
  <si>
    <t>PACARDO</t>
  </si>
  <si>
    <t>32736-33-Ab</t>
  </si>
  <si>
    <t>caryl.pacardo@yahoo.com</t>
  </si>
  <si>
    <t>https://drive.google.com/open?id=1rYL0yi7V222NVFpE2rUbGwBZ6V0FgTg2</t>
  </si>
  <si>
    <t>09275570237</t>
  </si>
  <si>
    <t>ELLEN</t>
  </si>
  <si>
    <t>BACARON</t>
  </si>
  <si>
    <t>BONTILAO</t>
  </si>
  <si>
    <t>23481-88-Ab</t>
  </si>
  <si>
    <t>ellenbontilao04@gmail.com</t>
  </si>
  <si>
    <t>https://drive.google.com/open?id=1xMEzhlEBnc6L6aZS-1B_FOHNkNdSBGXR</t>
  </si>
  <si>
    <t>09706101203</t>
  </si>
  <si>
    <t>Cristine Joy</t>
  </si>
  <si>
    <t>Castañeda</t>
  </si>
  <si>
    <t>Farillon</t>
  </si>
  <si>
    <t>Cristinejoyfarillon@gmail.com</t>
  </si>
  <si>
    <t>https://drive.google.com/open?id=1WJzCECknvEOnaz1_CFFAPP3_dtcsTRSe</t>
  </si>
  <si>
    <t>09653249775</t>
  </si>
  <si>
    <t>FE</t>
  </si>
  <si>
    <t>GENOVIA</t>
  </si>
  <si>
    <t>DASILAO</t>
  </si>
  <si>
    <t>1055-88-Ab</t>
  </si>
  <si>
    <t>dasilaofe63@gmail.com</t>
  </si>
  <si>
    <t>https://drive.google.com/open?id=1bQac6qo_cxAjLoJiBXitgy5YmkKKwetz</t>
  </si>
  <si>
    <t>09455722455</t>
  </si>
  <si>
    <t>https://drive.google.com/open?id=1XAtMZqq3AnSijbWaFJFjJJRzYdmMqDTG</t>
  </si>
  <si>
    <t xml:space="preserve">Chrionee lynnell </t>
  </si>
  <si>
    <t>Murillo</t>
  </si>
  <si>
    <t>Boje</t>
  </si>
  <si>
    <t>20195-88-Ab</t>
  </si>
  <si>
    <t>chrioneeboje11011986@gmail.com</t>
  </si>
  <si>
    <t>https://drive.google.com/open?id=1NwKdKNEmJEXa_NGE9OeZ5ZEy2KHN3wav</t>
  </si>
  <si>
    <t>09173142638</t>
  </si>
  <si>
    <t>AILEEN</t>
  </si>
  <si>
    <t>ENRIQUEZ</t>
  </si>
  <si>
    <t>EIJANSANTOS</t>
  </si>
  <si>
    <t>8274-62-Ab</t>
  </si>
  <si>
    <t>aileenbutternut@gmail.com</t>
  </si>
  <si>
    <t>https://drive.google.com/open?id=1_hTAKFkORxG6VRZ_2mX_uKaRxgqAo_hZ</t>
  </si>
  <si>
    <t>09171308367</t>
  </si>
  <si>
    <t>Ann</t>
  </si>
  <si>
    <t xml:space="preserve">Belarmino </t>
  </si>
  <si>
    <t>Odtojan</t>
  </si>
  <si>
    <t>68614-88-Aa</t>
  </si>
  <si>
    <t>annodtojan82@gmail.com</t>
  </si>
  <si>
    <t>https://drive.google.com/open?id=1HIzosk-nKsBMB6jn5BAk4fZGErfluSHr</t>
  </si>
  <si>
    <t>09157657219</t>
  </si>
  <si>
    <t>JEAN ANGELIQUE</t>
  </si>
  <si>
    <t>HALASAN</t>
  </si>
  <si>
    <t>ZAPATOS</t>
  </si>
  <si>
    <t>65807-88-Ab</t>
  </si>
  <si>
    <t>zapatos57@gmail.com</t>
  </si>
  <si>
    <t>https://drive.google.com/open?id=10COIi7zjD2Cse6Gv6OVMLoQSlMjjpwAD</t>
  </si>
  <si>
    <t>09567522981</t>
  </si>
  <si>
    <t>Ezekiah Laine</t>
  </si>
  <si>
    <t>De Aquino</t>
  </si>
  <si>
    <t>Figuracion</t>
  </si>
  <si>
    <t>ezekiahfiguracion@gmail.com</t>
  </si>
  <si>
    <t>https://drive.google.com/open?id=1qn180RXW_07ZmxDr8Y-fF41PrklpAr6b</t>
  </si>
  <si>
    <t>09614589276</t>
  </si>
  <si>
    <t>APRIL KATE</t>
  </si>
  <si>
    <t>ACENAS</t>
  </si>
  <si>
    <t>ADANZA</t>
  </si>
  <si>
    <t>63468-88-Ab</t>
  </si>
  <si>
    <t>adanza.aprilkate@gmail.com</t>
  </si>
  <si>
    <t>https://drive.google.com/open?id=1UEuTbJk_YV5L4JanhA1L6_oMg-8ZM4zl</t>
  </si>
  <si>
    <t>09173211165</t>
  </si>
  <si>
    <t>KATHLEEN</t>
  </si>
  <si>
    <t>DYTIAPCO</t>
  </si>
  <si>
    <t>TAFALENG</t>
  </si>
  <si>
    <t>25841-74-Ab</t>
  </si>
  <si>
    <t>masterkitlee@gmail.com</t>
  </si>
  <si>
    <t>https://drive.google.com/open?id=1H-FZZoqL8las9-URV7U-jw_DuzDngSh4</t>
  </si>
  <si>
    <t>09332003296</t>
  </si>
  <si>
    <t>EXPIRED 2023</t>
  </si>
  <si>
    <t>sponsored by SBSI</t>
  </si>
  <si>
    <t>Allan Jr</t>
  </si>
  <si>
    <t>Santillana</t>
  </si>
  <si>
    <t>Villanobos</t>
  </si>
  <si>
    <t>63973-86-Ab</t>
  </si>
  <si>
    <t>asvillanobos@gmail.com</t>
  </si>
  <si>
    <t>https://drive.google.com/open?id=1ynGSzIRe_txpLzW-B6dwUOy5c54xPova</t>
  </si>
  <si>
    <t>09084471515</t>
  </si>
  <si>
    <t>SPONSORED BY: Grepcor</t>
  </si>
  <si>
    <t>THEA HANNAH</t>
  </si>
  <si>
    <t>SAUBON</t>
  </si>
  <si>
    <t>ESPINA</t>
  </si>
  <si>
    <t>66902-85-Aa</t>
  </si>
  <si>
    <t>theahannahespina@gmail.com</t>
  </si>
  <si>
    <t>https://drive.google.com/open?id=1mpHuaJ6cyq1oVd0-8oe8XpQ_pQIeqT0L</t>
  </si>
  <si>
    <t>09466365610</t>
  </si>
  <si>
    <t>SPONSORED BY: FAS DIAGNOCTICS</t>
  </si>
  <si>
    <t xml:space="preserve">CHARINA </t>
  </si>
  <si>
    <t xml:space="preserve">ESCARO </t>
  </si>
  <si>
    <t xml:space="preserve">GENOTIVA </t>
  </si>
  <si>
    <t>23651-83-Ab</t>
  </si>
  <si>
    <t xml:space="preserve">charinagenotiva429@gmail.com </t>
  </si>
  <si>
    <t>https://drive.google.com/open?id=12T_qhUKFMEK3mXwILAkmwLTSGu73FlIZ</t>
  </si>
  <si>
    <t>09159000799</t>
  </si>
  <si>
    <t>MA. THERESE</t>
  </si>
  <si>
    <t>GARSUTA</t>
  </si>
  <si>
    <t>8360-34-Ab</t>
  </si>
  <si>
    <t>theresemay16@gmail.com</t>
  </si>
  <si>
    <t>https://drive.google.com/open?id=1t6wXgeKStYe9V3uVG0YCOnn7YGBpFGOE</t>
  </si>
  <si>
    <t>09688657422</t>
  </si>
  <si>
    <t>https://drive.google.com/open?id=1kvFWbaCF6swjp6X1UsgyiJwrxARU2r5i</t>
  </si>
  <si>
    <t>Ma Lovella</t>
  </si>
  <si>
    <t>Juros</t>
  </si>
  <si>
    <t>Benedicto</t>
  </si>
  <si>
    <t>18146-34-Ab</t>
  </si>
  <si>
    <t>benedictomalovella@gmail.com</t>
  </si>
  <si>
    <t>https://drive.google.com/open?id=1cucX_V1BKwaQ5RJTDsFjf7TL3I1ODaUW</t>
  </si>
  <si>
    <t>09177002903</t>
  </si>
  <si>
    <t>MERLITO</t>
  </si>
  <si>
    <t>LOPEZ</t>
  </si>
  <si>
    <t>DE TORRES</t>
  </si>
  <si>
    <t>37107-974-aB</t>
  </si>
  <si>
    <t>meldt1367@gmail.com</t>
  </si>
  <si>
    <t>https://drive.google.com/open?id=17pxv6IPti-lmgyQFClfuOw_PpNvuaDq_</t>
  </si>
  <si>
    <t>Joji Mirasol</t>
  </si>
  <si>
    <t>Romulo</t>
  </si>
  <si>
    <t>Tacardon</t>
  </si>
  <si>
    <t>17247-02-Ab</t>
  </si>
  <si>
    <t>mrsjmtacardon@gmail.com</t>
  </si>
  <si>
    <t>https://drive.google.com/open?id=1gmeU10_G3zAICmN8xf1OJwl9XprENK9T</t>
  </si>
  <si>
    <t>09479981584</t>
  </si>
  <si>
    <t>John Paul</t>
  </si>
  <si>
    <t>Suba</t>
  </si>
  <si>
    <t>Isla</t>
  </si>
  <si>
    <t>37233-78-Ab</t>
  </si>
  <si>
    <t>johnpaulisla@gmail.com</t>
  </si>
  <si>
    <t>https://drive.google.com/open?id=1Ny1iByWBPR_Y_zTuRea7u2MSGvv2q-x5</t>
  </si>
  <si>
    <t>09625389232</t>
  </si>
  <si>
    <t>CYRUS ANTHONY</t>
  </si>
  <si>
    <t>AYQUE</t>
  </si>
  <si>
    <t>SAMSON</t>
  </si>
  <si>
    <t>28961-52-Ab</t>
  </si>
  <si>
    <t>cyrusrmt2016@gmail.com</t>
  </si>
  <si>
    <t>https://drive.google.com/open?id=1sIj7nHB1x9jJ5TqU_hMU_YT7g79ShH11</t>
  </si>
  <si>
    <t>09195979616</t>
  </si>
  <si>
    <t>DANYAH</t>
  </si>
  <si>
    <t>GUIAPAR</t>
  </si>
  <si>
    <t>PANEGAS</t>
  </si>
  <si>
    <t>dgpanegas@gmail.com</t>
  </si>
  <si>
    <t>https://drive.google.com/open?id=1GfUozfCXftE9FJk1ImQ8W7HeN7f9yYO6</t>
  </si>
  <si>
    <t>09157308503</t>
  </si>
  <si>
    <t>JENALUZ MARIE</t>
  </si>
  <si>
    <t>TANCINCO</t>
  </si>
  <si>
    <t>BUENSUCESO</t>
  </si>
  <si>
    <t>54236-82-Ab</t>
  </si>
  <si>
    <t>jenaluz.buensuceso@gmail.com</t>
  </si>
  <si>
    <t>https://drive.google.com/open?id=1mPEH7r7q6_EC5vnXCVPWtfYNlS1j5y6g</t>
  </si>
  <si>
    <t>09153676687</t>
  </si>
  <si>
    <t xml:space="preserve">AGNES </t>
  </si>
  <si>
    <t>UAO</t>
  </si>
  <si>
    <t>BAUTISTA</t>
  </si>
  <si>
    <t>23782-78-Ab</t>
  </si>
  <si>
    <t>ninalyssa5@gmail.com</t>
  </si>
  <si>
    <t>https://drive.google.com/open?id=1Z9dloCWpQbW2ycn4VLAJBANSE6xJMBCU</t>
  </si>
  <si>
    <t>09088834237</t>
  </si>
  <si>
    <t>Diana Rose</t>
  </si>
  <si>
    <t>Natividad</t>
  </si>
  <si>
    <t>Manango</t>
  </si>
  <si>
    <t>52086-78-Ab</t>
  </si>
  <si>
    <t>dianamanango123456@gmail.com</t>
  </si>
  <si>
    <t>https://drive.google.com/open?id=18klmTJBlm9wfgILpSpu2jycTTCF_lX_V</t>
  </si>
  <si>
    <t>09178500161</t>
  </si>
  <si>
    <t>VILMA</t>
  </si>
  <si>
    <t>RESPONSO</t>
  </si>
  <si>
    <t>VILLAMIN</t>
  </si>
  <si>
    <t>15688-78-Ab</t>
  </si>
  <si>
    <t>villaminvilma2@gmail.com</t>
  </si>
  <si>
    <t>https://drive.google.com/open?id=1_15YhVuQu_8IPoOVNXR5cLU9MqSuHmz2</t>
  </si>
  <si>
    <t>09189658579</t>
  </si>
  <si>
    <t>Alyssa Jane</t>
  </si>
  <si>
    <t>Palabrica</t>
  </si>
  <si>
    <t>Pepito</t>
  </si>
  <si>
    <t>68877-32-Aa</t>
  </si>
  <si>
    <t>pepito.alyssa@gmail.com</t>
  </si>
  <si>
    <t>https://drive.google.com/open?id=1fxl-SnwV5k095TLD3Ru1Gv62hFwi2cqb</t>
  </si>
  <si>
    <t>09270864853</t>
  </si>
  <si>
    <t>Hussein</t>
  </si>
  <si>
    <t>Sarip</t>
  </si>
  <si>
    <t>Sadic</t>
  </si>
  <si>
    <t>79566-88-Aa</t>
  </si>
  <si>
    <t>husseinsadic@gmail.com</t>
  </si>
  <si>
    <t>https://drive.google.com/open?id=1hVCXy9oNkcmO2mDKeAqew-JPzzH7W3py</t>
  </si>
  <si>
    <t>09262290491</t>
  </si>
  <si>
    <t>Luzviminda</t>
  </si>
  <si>
    <t>Manuel</t>
  </si>
  <si>
    <t>Posadas</t>
  </si>
  <si>
    <t>19002-75-Ab</t>
  </si>
  <si>
    <t>luzmposadas40673@gmail.com</t>
  </si>
  <si>
    <t>https://drive.google.com/open?id=1-PKrC1fYa79cbPjGHA5tK7XeSbaVVTl1</t>
  </si>
  <si>
    <t>09452449126</t>
  </si>
  <si>
    <t>DYRELLE</t>
  </si>
  <si>
    <t>ADAO</t>
  </si>
  <si>
    <t>20610-02-Ab</t>
  </si>
  <si>
    <t>dyrelle.diey@gmail.com</t>
  </si>
  <si>
    <t>https://drive.google.com/open?id=1JgfCgV8porzjoKzNV7ibGAXNtq4zAxVA</t>
  </si>
  <si>
    <t>09476419065</t>
  </si>
  <si>
    <t xml:space="preserve">Janice Joy </t>
  </si>
  <si>
    <t>Ramasasa</t>
  </si>
  <si>
    <t>Siso</t>
  </si>
  <si>
    <t>30646-44-Aa</t>
  </si>
  <si>
    <t>yojecinaj@gmail.com</t>
  </si>
  <si>
    <t>https://drive.google.com/open?id=1904umlOplnHWKpFBTDFmWFH8lHeu541W</t>
  </si>
  <si>
    <t>09173157386</t>
  </si>
  <si>
    <t>ACTIVE 2027</t>
  </si>
  <si>
    <t>Bing</t>
  </si>
  <si>
    <t>De Vera</t>
  </si>
  <si>
    <t>Mesa</t>
  </si>
  <si>
    <t>19425-02-Ab</t>
  </si>
  <si>
    <t>mesabing941@gmail.com</t>
  </si>
  <si>
    <t>https://drive.google.com/open?id=1b5wsrc9Zc2rluhWsmMdVsxlouvN_DdqZ</t>
  </si>
  <si>
    <t>09236165192</t>
  </si>
  <si>
    <t>ACTIVE 2026</t>
  </si>
  <si>
    <t>Mariza</t>
  </si>
  <si>
    <t>Munda</t>
  </si>
  <si>
    <t>Tunay</t>
  </si>
  <si>
    <t>5918-49-Ab</t>
  </si>
  <si>
    <t>marizamtunay@gmail.com</t>
  </si>
  <si>
    <t>https://drive.google.com/open?id=1NXA4UMPbH4j1x8tn_vQVQQUfbPe1hAm3</t>
  </si>
  <si>
    <t>09771065916</t>
  </si>
  <si>
    <t>Anabelle</t>
  </si>
  <si>
    <t>Libradilla</t>
  </si>
  <si>
    <t>80481-32-Aa</t>
  </si>
  <si>
    <t>bellefuentes20@gmail.com</t>
  </si>
  <si>
    <t>https://drive.google.com/open?id=1pVML0ljw_o_JiRHqTp9InR4w_kjugwH7</t>
  </si>
  <si>
    <t>09499155174</t>
  </si>
  <si>
    <t>GLORY NEIL</t>
  </si>
  <si>
    <t>MAGBANUA</t>
  </si>
  <si>
    <t>MARQUEZ</t>
  </si>
  <si>
    <t>75211-82-Aa</t>
  </si>
  <si>
    <t>gloryneilm@gmail.com</t>
  </si>
  <si>
    <t>https://drive.google.com/open?id=1SLEvIOlqhcrRWsEMDNnPRvigzQYtO9NQ</t>
  </si>
  <si>
    <t>09678537915</t>
  </si>
  <si>
    <t>EXPIRED 2025</t>
  </si>
  <si>
    <t>Parola</t>
  </si>
  <si>
    <t>Fajilan</t>
  </si>
  <si>
    <t>Diaz</t>
  </si>
  <si>
    <t>37603-02-Ab</t>
  </si>
  <si>
    <t>paroladiaz@gmail.com</t>
  </si>
  <si>
    <t>https://drive.google.com/open?id=1LtxlPbr5xhWRRYDML9r4aL4WEW4IUYB6</t>
  </si>
  <si>
    <t>09625138564</t>
  </si>
  <si>
    <t>active 2027</t>
  </si>
  <si>
    <t>Abigail Grace</t>
  </si>
  <si>
    <t>Abellanosa</t>
  </si>
  <si>
    <t>Raagas</t>
  </si>
  <si>
    <t>Kimzalde@gmail.com</t>
  </si>
  <si>
    <t>https://drive.google.com/open?id=1S8iTlz3IvrMTMG_cNmD-66e2qv1ujn80</t>
  </si>
  <si>
    <t>09219984817</t>
  </si>
  <si>
    <t>active 2026</t>
  </si>
  <si>
    <t>HANIE GRACE</t>
  </si>
  <si>
    <t>MAGLUYAN</t>
  </si>
  <si>
    <t>NECESITO</t>
  </si>
  <si>
    <t>77889-82-Aa</t>
  </si>
  <si>
    <t>haniegracenecesito122901@gmail.com</t>
  </si>
  <si>
    <t>https://drive.google.com/open?id=1HsE8o4lhKgo0stMXZbqrsY6mg8CmGigo</t>
  </si>
  <si>
    <t>09603351170</t>
  </si>
  <si>
    <t>expired 2025</t>
  </si>
  <si>
    <t>Charmaine</t>
  </si>
  <si>
    <t>Suyao</t>
  </si>
  <si>
    <t>Dumapit</t>
  </si>
  <si>
    <t>28434-88-Ab</t>
  </si>
  <si>
    <t>charmelea1201@gmail.com</t>
  </si>
  <si>
    <t>https://drive.google.com/open?id=15fRCAY__305HT6PGQrmyjH7WjF-iKFtk</t>
  </si>
  <si>
    <t>09525478300</t>
  </si>
  <si>
    <t>Denise Bianca</t>
  </si>
  <si>
    <t>Roa</t>
  </si>
  <si>
    <t>Sarmiento</t>
  </si>
  <si>
    <t>55680-88-Aa</t>
  </si>
  <si>
    <t>denisebiancasarmiento@gmail.com</t>
  </si>
  <si>
    <t>https://drive.google.com/open?id=1PY_HxldfbKT_wOIKxKBu_hGuPbRrrSOf</t>
  </si>
  <si>
    <t>09770618824</t>
  </si>
  <si>
    <t>Sheann Jirah</t>
  </si>
  <si>
    <t>Balandra</t>
  </si>
  <si>
    <t>Pelpinosas</t>
  </si>
  <si>
    <t>54474-88-Ab</t>
  </si>
  <si>
    <t>jirahpelpinosas@gmail.com</t>
  </si>
  <si>
    <t>https://drive.google.com/open?id=13MzO3qt6zPPXd8_DM-RumT8sndza5Rhm</t>
  </si>
  <si>
    <t>09068983081</t>
  </si>
  <si>
    <t>Rogelio Jr.</t>
  </si>
  <si>
    <t>Nicdao</t>
  </si>
  <si>
    <t>Laxamana</t>
  </si>
  <si>
    <t>79137-02-Aa</t>
  </si>
  <si>
    <t>jojolaxamana22@gmail.com</t>
  </si>
  <si>
    <t>https://drive.google.com/open?id=1qasI3ibGehKR79Hw0ww7T4fsA83jyQbP</t>
  </si>
  <si>
    <t>09985569414</t>
  </si>
  <si>
    <t>Mary Joy</t>
  </si>
  <si>
    <t>Germo</t>
  </si>
  <si>
    <t>Asilo</t>
  </si>
  <si>
    <t>55665-88-Aa</t>
  </si>
  <si>
    <t>mjgasilormt@gmail.com</t>
  </si>
  <si>
    <t>https://drive.google.com/open?id=1nY8uA2NoNAigzKYarmG6R01a7HPKFruj</t>
  </si>
  <si>
    <t>09565363548</t>
  </si>
  <si>
    <t xml:space="preserve">CHRIST JOHN </t>
  </si>
  <si>
    <t>MIRANDA</t>
  </si>
  <si>
    <t>CAAY</t>
  </si>
  <si>
    <t>79520-88-Aa</t>
  </si>
  <si>
    <t>caaychristjohn@gmail.com</t>
  </si>
  <si>
    <t>https://drive.google.com/open?id=1s3A7wD9-YPWiJ2cV7R0LVOaiyONg_myT</t>
  </si>
  <si>
    <t>09655917089</t>
  </si>
  <si>
    <t>COUNTA of Proof of Payment (Deposit Slip, On-line transaction Receipt)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</si>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</sst>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mm-dd-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6AA84F"/>
      </left>
      <right style="thin">
        <color rgb="FF6AA84F"/>
      </right>
      <top style="thin">
        <color rgb="FF442F65"/>
      </top>
      <bottom style="thin">
        <color rgb="FF442F65"/>
      </bottom>
    </border>
    <border>
      <left style="thin">
        <color rgb="FF6AA84F"/>
      </left>
      <right style="thin">
        <color rgb="FF442F65"/>
      </right>
      <top style="thin"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0" fillId="3" fontId="1" numFmtId="164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1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3" fontId="1" numFmtId="0" xfId="0" applyFont="1"/>
    <xf quotePrefix="1" borderId="0" fillId="3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3" fontId="1" numFmtId="0" xfId="0" applyAlignment="1" applyFont="1">
      <alignment horizontal="left" readingOrder="0"/>
    </xf>
    <xf borderId="0" fillId="5" fontId="1" numFmtId="164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14" xfId="0" applyAlignment="1" applyFont="1" applyNumberFormat="1">
      <alignment readingOrder="0"/>
    </xf>
    <xf borderId="0" fillId="5" fontId="6" numFmtId="0" xfId="0" applyAlignment="1" applyFont="1">
      <alignment readingOrder="0"/>
    </xf>
    <xf quotePrefix="1" borderId="0" fillId="5" fontId="1" numFmtId="0" xfId="0" applyAlignment="1" applyFont="1">
      <alignment readingOrder="0"/>
    </xf>
    <xf borderId="0" fillId="5" fontId="1" numFmtId="0" xfId="0" applyFont="1"/>
    <xf borderId="0" fillId="5" fontId="5" numFmtId="0" xfId="0" applyAlignment="1" applyFont="1">
      <alignment readingOrder="0"/>
    </xf>
    <xf borderId="0" fillId="5" fontId="7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8" fontId="5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10" fontId="5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8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11" fontId="5" numFmtId="0" xfId="0" applyAlignment="1" applyFill="1" applyFon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12" fontId="1" numFmtId="0" xfId="0" applyFill="1" applyFont="1"/>
    <xf borderId="0" fillId="13" fontId="1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21" sheet="Form Responses 1"/>
  </cacheSource>
  <cacheFields>
    <cacheField name="Timestamp" numFmtId="164">
      <sharedItems containsDate="1" containsString="0" containsBlank="1">
        <d v="2026-03-05T13:51:08Z"/>
        <d v="2026-03-06T10:00:53Z"/>
        <d v="2026-03-06T11:12:15Z"/>
        <d v="2026-03-06T13:23:16Z"/>
        <d v="2026-03-09T15:51:19Z"/>
        <d v="2026-03-10T09:28:08Z"/>
        <d v="2026-03-10T09:44:00Z"/>
        <d v="2026-03-10T10:20:58Z"/>
        <d v="2026-03-10T14:38:57Z"/>
        <d v="2026-03-10T15:18:59Z"/>
        <d v="2026-03-11T13:20:01Z"/>
        <d v="2026-03-11T17:29:18Z"/>
        <d v="2026-03-12T10:52:53Z"/>
        <d v="2026-03-12T11:31:49Z"/>
        <d v="2026-03-12T13:26:05Z"/>
        <d v="2026-03-12T14:11:54Z"/>
        <d v="2026-03-12T15:24:19Z"/>
        <d v="2026-03-12T15:24:49Z"/>
        <d v="2026-03-13T08:27:03Z"/>
        <d v="2026-03-13T09:20:29Z"/>
        <d v="2026-03-13T09:25:58Z"/>
        <d v="2026-03-13T10:06:36Z"/>
        <d v="2026-03-13T10:10:10Z"/>
        <d v="2026-03-13T10:22:47Z"/>
        <d v="2026-03-13T14:51:26Z"/>
        <d v="2026-03-13T14:55:58Z"/>
        <d v="2026-03-13T21:58:26Z"/>
        <d v="2026-03-16T08:57:45Z"/>
        <d v="2026-03-17T08:18:33Z"/>
        <d v="2026-03-17T09:26:22Z"/>
        <d v="2026-03-18T11:53:07Z"/>
        <d v="2026-03-18T12:02:31Z"/>
        <d v="2026-03-18T16:15:11Z"/>
        <d v="2026-03-19T10:37:33Z"/>
        <d v="2026-03-19T11:13:11Z"/>
        <d v="2026-03-19T11:24:15Z"/>
        <d v="2026-03-19T13:44:09Z"/>
        <d v="2026-03-20T12:45:54Z"/>
        <d v="2026-03-20T13:19:32Z"/>
        <d v="2026-03-20T16:33:36Z"/>
        <d v="2026-03-21T15:04:34Z"/>
        <d v="2026-03-23T18:08:14Z"/>
        <d v="2026-03-23T18:25:11Z"/>
        <d v="2026-03-24T07:51:40Z"/>
        <d v="2026-03-24T10:44:24Z"/>
        <d v="2026-03-24T20:03:49Z"/>
        <d v="2026-03-25T07:45:01Z"/>
        <d v="2026-03-25T10:51:53Z"/>
        <d v="2026-03-25T10:37:32Z"/>
        <d v="2026-03-25T14:38:45Z"/>
        <d v="2026-03-25T20:56:46Z"/>
        <d v="2026-03-25T21:18:31Z"/>
        <d v="2026-03-25T21:36:57Z"/>
        <d v="2026-03-26T08:06:09Z"/>
        <d v="2026-03-26T09:38:57Z"/>
        <d v="2026-03-27T08:09:18Z"/>
        <d v="2026-03-27T08:42:14Z"/>
        <d v="2026-03-27T09:01:08Z"/>
        <d v="2026-03-27T10:37:39Z"/>
        <d v="2026-03-27T10:49:20Z"/>
        <d v="2026-03-27T12:35:25Z"/>
        <d v="2026-03-27T12:35:26Z"/>
        <d v="2026-03-27T12:36:20Z"/>
        <d v="2026-03-28T17:52:16Z"/>
        <d v="2026-03-30T11:13:06Z"/>
        <d v="2026-03-30T18:09:04Z"/>
        <d v="2026-03-30T21:40:15Z"/>
        <d v="2026-03-31T10:46:19Z"/>
        <d v="2026-03-31T17:25:08Z"/>
        <d v="2026-04-01T07:13:59Z"/>
        <d v="2026-04-01T13:16:00Z"/>
        <d v="2026-04-01T15:45:05Z"/>
        <d v="2026-04-01T16:08:52Z"/>
        <d v="2026-04-06T08:12:39Z"/>
        <d v="2026-04-06T09:28:51Z"/>
        <d v="2026-04-06T15:44:29Z"/>
        <d v="2026-04-06T23:16:47Z"/>
        <d v="2026-04-07T07:23:51Z"/>
        <d v="2026-04-07T08:08:39Z"/>
        <d v="2026-04-07T09:26:55Z"/>
        <d v="2026-04-07T15:04:17Z"/>
        <d v="2026-04-07T20:00:05Z"/>
        <d v="2026-04-07T20:58:27Z"/>
        <d v="2026-04-07T21:18:50Z"/>
        <d v="2026-04-07T21:25:21Z"/>
        <d v="2026-04-08T09:12:26Z"/>
        <d v="2026-04-08T09:49:19Z"/>
        <d v="2026-04-08T10:08:46Z"/>
        <d v="2026-04-08T11:08:05Z"/>
        <d v="2026-04-08T11:21:36Z"/>
        <d v="2026-04-08T11:23:42Z"/>
        <d v="2026-04-08T13:53:34Z"/>
        <d v="2026-04-08T14:18:19Z"/>
        <d v="2026-04-13T10:22:13Z"/>
        <d v="2026-04-08T16:20:58Z"/>
        <d v="2026-04-08T19:48:13Z"/>
        <d v="2026-04-10T15:43:05Z"/>
        <d v="2026-04-10T10:42:42Z"/>
        <d v="2026-04-10T11:42:24Z"/>
        <d v="2026-04-10T09:47:56Z"/>
        <d v="2026-04-10T09:48:32Z"/>
        <d v="2026-04-10T09:52:15Z"/>
        <d v="2026-04-10T10:31:17Z"/>
        <d v="2026-04-10T12:40:46Z"/>
        <d v="2026-04-10T14:17:29Z"/>
        <d v="2026-04-10T14:35:38Z"/>
        <d v="2026-04-10T14:39:26Z"/>
        <d v="2026-04-10T15:49:50Z"/>
        <d v="2026-04-10T15:56:52Z"/>
        <d v="2026-04-10T22:33:09Z"/>
        <d v="2026-04-11T11:08:58Z"/>
        <d v="2026-04-11T11:13:55Z"/>
        <d v="2026-04-11T20:06:50Z"/>
        <d v="2026-04-13T13:34:54Z"/>
        <d v="2026-04-13T14:45:27Z"/>
        <d v="2026-04-13T15:10:31Z"/>
        <d v="2026-04-13T19:46:01Z"/>
        <d v="2026-04-13T16:50:40Z"/>
        <d v="2026-04-13T21:19:50Z"/>
        <d v="2026-04-13T21:30:54Z"/>
        <d v="2026-04-13T21:43:50Z"/>
        <d v="2026-04-13T23:45:27Z"/>
        <d v="2026-04-14T08:03:48Z"/>
        <d v="2026-04-14T12:24:56Z"/>
        <d v="2026-04-14T13:09:09Z"/>
        <d v="2026-04-14T13:24:28Z"/>
        <d v="2026-04-14T13:43:37Z"/>
        <d v="2026-04-14T14:18:04Z"/>
        <d v="2026-04-14T14:49:26Z"/>
        <d v="2026-04-14T15:14:37Z"/>
        <d v="2026-04-14T15:13:10Z"/>
        <d v="2026-04-14T15:31:55Z"/>
        <d v="2026-04-14T15:49:17Z"/>
        <d v="2026-04-14T15:55:47Z"/>
        <d v="2026-04-14T15:57:51Z"/>
        <d v="2026-04-14T17:24:34Z"/>
        <d v="2026-04-16T16:02:48Z"/>
        <d v="2026-04-14T21:05:32Z"/>
        <d v="2026-04-14T23:51:31Z"/>
        <d v="2026-04-15T01:03:57Z"/>
        <d v="2026-04-15T10:12:49Z"/>
        <d v="2026-04-15T10:29:02Z"/>
        <d v="2026-04-15T10:48:09Z"/>
        <d v="2026-04-15T14:23:17Z"/>
        <d v="2026-04-15T14:52:22Z"/>
        <d v="2026-04-15T15:38:26Z"/>
        <d v="2026-04-15T16:29:15Z"/>
        <d v="2026-04-15T16:48:22Z"/>
        <d v="2026-04-15T17:19:42Z"/>
        <d v="2026-04-15T19:19:27Z"/>
        <d v="2026-04-15T20:40:34Z"/>
        <d v="2026-04-15T21:34:41Z"/>
        <d v="2026-04-15T22:07:15Z"/>
        <d v="2026-04-15T22:37:31Z"/>
        <d v="2026-04-15T22:41:29Z"/>
        <d v="2026-04-15T22:58:48Z"/>
        <d v="2026-04-16T12:39:45Z"/>
        <d v="2026-04-16T12:43:33Z"/>
        <d v="2026-04-16T12:57:54Z"/>
        <d v="2026-04-16T16:15:09Z"/>
        <d v="2026-04-16T16:15:45Z"/>
        <d v="2026-04-17T09:49:07Z"/>
        <d v="2026-04-17T11:39:55Z"/>
        <d v="2026-04-17T11:43:22Z"/>
        <d v="2026-04-17T11:49:55Z"/>
        <d v="2026-04-17T12:08:11Z"/>
        <d v="2026-04-17T12:10:51Z"/>
        <d v="2026-04-17T13:53:37Z"/>
        <d v="2026-04-17T15:09:55Z"/>
        <d v="2026-04-17T15:39:52Z"/>
        <d v="2026-04-17T16:00:48Z"/>
        <d v="2026-04-17T16:07:32Z"/>
        <d v="2026-04-17T16:10:45Z"/>
        <d v="2026-04-17T19:38:38Z"/>
        <d v="2026-04-17T19:57:43Z"/>
        <d v="2026-04-17T20:05:26Z"/>
        <d v="2026-04-17T22:49:45Z"/>
        <d v="2026-04-17T23:20:46Z"/>
        <d v="2026-04-18T00:30:56Z"/>
        <d v="2026-04-21T11:28:58Z"/>
        <d v="2026-04-18T16:54:01Z"/>
        <d v="2026-04-18T20:52:53Z"/>
        <d v="2026-04-18T23:23:10Z"/>
        <d v="2026-04-19T21:57:47Z"/>
        <d v="2026-04-19T22:42:01Z"/>
        <d v="2026-04-20T10:34:21Z"/>
        <d v="2026-04-20T11:21:12Z"/>
        <d v="2026-04-20T16:39:56Z"/>
        <d v="2026-04-20T17:28:30Z"/>
        <d v="2026-04-20T18:27:24Z"/>
        <d v="2026-04-20T19:56:41Z"/>
        <d v="2026-04-20T21:51:36Z"/>
        <d v="2026-04-20T23:14:09Z"/>
        <d v="2026-04-20T23:16:22Z"/>
        <d v="2026-04-21T04:48:27Z"/>
        <d v="2026-04-21T11:53:50Z"/>
        <d v="2026-04-21T14:17:44Z"/>
        <d v="2026-04-21T14:42:43Z"/>
        <d v="2026-04-21T19:29:44Z"/>
        <d v="2026-04-21T15:09:38Z"/>
        <d v="2026-04-21T16:00:26Z"/>
        <d v="2026-04-21T16:33:59Z"/>
        <d v="2026-04-21T17:13:16Z"/>
        <d v="2026-04-22T07:03:07Z"/>
        <d v="2026-04-22T08:43:27Z"/>
        <d v="2026-04-22T11:30:15Z"/>
        <d v="2026-04-22T14:24:00Z"/>
        <d v="2026-04-22T16:52:04Z"/>
        <d v="2026-04-22T17:17:25Z"/>
        <d v="2026-04-22T19:13:42Z"/>
        <d v="2026-04-22T19:16:49Z"/>
        <d v="2026-04-23T08:06:42Z"/>
        <d v="2026-04-23T10:02:22Z"/>
        <d v="2026-04-23T10:36:12Z"/>
        <d v="2026-04-23T12:57:59Z"/>
        <d v="2026-04-23T13:19:42Z"/>
        <d v="2026-04-23T13:50:02Z"/>
        <d v="2026-04-23T13:58:57Z"/>
        <d v="2026-04-23T14:01:35Z"/>
        <d v="2026-04-23T14:12:15Z"/>
        <m/>
      </sharedItems>
    </cacheField>
    <cacheField name="GIVEN NAME" numFmtId="0">
      <sharedItems containsBlank="1">
        <s v="Eileen Rowena"/>
        <s v="PHILIP ESTEBAN "/>
        <s v="NENITA"/>
        <s v="ELEANOR"/>
        <s v="Avelyn"/>
        <s v="Rio Belle"/>
        <s v="CORAJANE"/>
        <s v="DONNA THERESE"/>
        <s v="Lolenia"/>
        <s v="FILIPINA"/>
        <s v="Conrado Glicerio Jr."/>
        <s v="MERCEDES"/>
        <s v="Annette"/>
        <s v="JILL MARIE TRACEY"/>
        <s v="Reggie"/>
        <s v="HAEL LACHET "/>
        <s v="Daisylyn"/>
        <s v="JEANNETTE"/>
        <s v="DOROTHY "/>
        <s v="Joanna Marie"/>
        <s v="Mark"/>
        <s v="PIL GRACE"/>
        <s v="Melinda"/>
        <s v="Ma Carmela"/>
        <s v="Sean Kyle"/>
        <s v="JOHN CARLO"/>
        <s v="KRIZEL"/>
        <s v="Marinelle"/>
        <s v="ARNEL"/>
        <s v="ISRAEL"/>
        <s v="CHRISTOPHER II"/>
        <s v="MA. NOEDA"/>
        <s v="Andrei"/>
        <s v="NERISSA"/>
        <s v="RIE "/>
        <s v="Kimberly Len"/>
        <s v="GRACE"/>
        <s v="DONNA MARIE"/>
        <s v="Kristine Joy"/>
        <s v="JOHN MARK"/>
        <s v="VISTAL"/>
        <s v="John Cayetano"/>
        <s v="ARIANE JOY "/>
        <s v="Sharon rose"/>
        <s v="Khristine"/>
        <s v="Cristine Alysa "/>
        <s v="Leo Bernard"/>
        <s v="DENNISON"/>
        <s v="RENA "/>
        <s v="Clarisa "/>
        <s v="MANOLITO "/>
        <s v="BERNICE"/>
        <s v="Merlie"/>
        <s v="RENE "/>
        <s v="PRECILA"/>
        <s v="Roi Hermoso"/>
        <s v="Fernando Jr."/>
        <s v="Arlene "/>
        <s v="Lalie"/>
        <s v="JILLIAN ISABELLE"/>
        <s v="Hannah Kathleen "/>
        <s v="Ma.Josephine"/>
        <s v="JOBHEL CHRISTY"/>
        <s v="FATIHA"/>
        <s v="NILEVIER GINE"/>
        <s v="Elenabeth"/>
        <s v="Judy Ann"/>
        <s v="Marie Jane"/>
        <s v="MARK JADE"/>
        <s v="Betsy"/>
        <s v="Vidalyn"/>
        <s v="Faisah"/>
        <s v="Maria Cedee"/>
        <s v="Patrick"/>
        <s v="Jackelyn"/>
        <s v="EVELYN"/>
        <s v="CHARITY JOYCE"/>
        <s v="ANNA LEAH"/>
        <s v="PASTEUR MELO"/>
        <s v="Evelyn "/>
        <s v="CHRYSTEL FAITH"/>
        <s v="ARLENE"/>
        <s v="PERLA"/>
        <s v="LUCIA"/>
        <s v="ALYANNA JANINE"/>
        <s v="Elmer"/>
        <s v="Marylou"/>
        <s v="Lovely Mae"/>
        <s v="FLORICEL"/>
        <s v="Simonee"/>
        <s v="ALMA"/>
        <s v="Krist May"/>
        <s v="KAY"/>
        <s v="MARIVIC VIVIAN"/>
        <s v="Alnor"/>
        <s v="Shawn Keziah"/>
        <s v="RAYAN"/>
        <s v="Hasbiah"/>
        <s v="Abunaim"/>
        <s v="Aprilhyn"/>
        <s v="ANABEL"/>
        <s v="JANE"/>
        <s v="ABDULBAYAN"/>
        <s v="ESAIRE JOMARI"/>
        <s v="Gray Lavien"/>
        <s v="JSTAD"/>
        <s v="REIN DONZEL"/>
        <s v="CHRISTIAN"/>
        <s v="LOUVER"/>
        <s v="SHARINA"/>
        <s v="Aeman"/>
        <s v="MIZZY ANN"/>
        <s v="SHERHAN"/>
        <s v="Lovely Jean"/>
        <s v="REGINE"/>
        <s v="RONNIE"/>
        <s v="Justine"/>
        <s v="CHRISSEL MARIE"/>
        <s v="BRIDGETTE LYNN"/>
        <s v="ROMELITA"/>
        <s v="KENNETH"/>
        <s v="FAIZAH"/>
        <s v="REGINA COELI"/>
        <s v="Queenie"/>
        <s v="MYRA DIMPNA"/>
        <s v="Vincent"/>
        <s v="Jazmin"/>
        <s v="Alona"/>
        <s v="ELPIDIO"/>
        <s v="IVY CHARLENE"/>
        <s v="CHRISTENE GALEY"/>
        <s v="Macy Anne"/>
        <s v="MA. CRISTINA"/>
        <s v="JENILYN"/>
        <s v="MARC KYLIE"/>
        <s v="Ronilyn"/>
        <s v="Kerwin"/>
        <s v="Scarlet Gay II"/>
        <s v="JOYLEN MARIE "/>
        <s v="Norhaylah"/>
        <s v="BABY NORMITA"/>
        <s v="IRISH"/>
        <s v="DANIECA"/>
        <s v="APRIL ROSE"/>
        <s v="Reynaldo "/>
        <s v="RHAYA COLEEN"/>
        <s v="CEANLE"/>
        <s v="Aileen "/>
        <s v=" BEN"/>
        <s v="Jaime"/>
        <s v="JOSELLE"/>
        <s v="Ma. Sylvia "/>
        <s v="Mar Lee"/>
        <s v="Louela"/>
        <s v="GEMMA"/>
        <s v="CHARIE MAE"/>
        <s v="MA. ROSARIO"/>
        <s v="Christine Leonor"/>
        <s v="Vina Marie"/>
        <s v="Maristella"/>
        <s v="MARICAR"/>
        <s v="Raymund"/>
        <s v="Karl"/>
        <s v="PALACIOS"/>
        <s v="JOCELYN"/>
        <s v="Janeth"/>
        <s v="JOSE ALLAN"/>
        <s v="Allan "/>
        <s v="JAY NOLAN"/>
        <s v="Maylyn"/>
        <s v="Lennie "/>
        <s v="Eva Rose"/>
        <s v="VANESSA JEANE "/>
        <s v="Maricar Joy"/>
        <s v="Debbie Rose "/>
        <s v="Cairon Zaman"/>
        <s v="CARYL"/>
        <s v="ELLEN"/>
        <s v="Cristine Joy"/>
        <s v="FE"/>
        <s v="Chrionee lynnell "/>
        <s v="AILEEN"/>
        <s v="Ann"/>
        <s v="JEAN ANGELIQUE"/>
        <s v="Ezekiah Laine"/>
        <s v="APRIL KATE"/>
        <s v="KATHLEEN"/>
        <s v="Allan Jr"/>
        <s v="THEA HANNAH"/>
        <s v="CHARINA "/>
        <s v="MA. THERESE"/>
        <s v="Ma Lovella"/>
        <s v="MERLITO"/>
        <s v="Joji Mirasol"/>
        <s v="John Paul"/>
        <s v="CYRUS ANTHONY"/>
        <s v="DANYAH"/>
        <s v="JENALUZ MARIE"/>
        <s v="AGNES "/>
        <s v="Diana Rose"/>
        <s v="VILMA"/>
        <s v="Alyssa Jane"/>
        <s v="Hussein"/>
        <s v="Luzviminda"/>
        <s v="DYRELLE"/>
        <s v="Janice Joy "/>
        <s v="Bing"/>
        <s v="Mariza"/>
        <s v="Anabelle"/>
        <s v="GLORY NEIL"/>
        <s v="Parola"/>
        <s v="Abigail Grace"/>
        <s v="HANIE GRACE"/>
        <s v="Charmaine"/>
        <s v="Denise Bianca"/>
        <s v="Sheann Jirah"/>
        <s v="Rogelio Jr."/>
        <s v="Mary Joy"/>
        <s v="CHRIST JOHN "/>
        <m/>
      </sharedItems>
    </cacheField>
    <cacheField name="MIDDLE NAME" numFmtId="0">
      <sharedItems containsBlank="1">
        <s v="Icban"/>
        <s v="MATIAS "/>
        <s v="CASTILLO"/>
        <s v="REALCE"/>
        <s v="Aromin"/>
        <s v="Dizon"/>
        <s v="ARNEDO"/>
        <s v="MATAMMU"/>
        <s v="Melad"/>
        <s v="FLORA"/>
        <s v="Garcellano"/>
        <s v="ALINDUGAN"/>
        <s v="Apostol"/>
        <s v="BUAYA"/>
        <s v="Fernandez"/>
        <s v="LAVISTO"/>
        <s v="Paguio"/>
        <s v="AUSTRIA"/>
        <s v="DAO-AS"/>
        <s v="Mallillin"/>
        <s v="Joaquin"/>
        <s v="SOLIVEN"/>
        <s v="Gue"/>
        <s v="Perigua"/>
        <s v="Marqueza"/>
        <s v="MIJARES"/>
        <s v="KHO"/>
        <s v="Tañada"/>
        <s v="REYES"/>
        <s v="FETALCO"/>
        <s v="VILLAFLORES"/>
        <s v="ZERNA"/>
        <s v="Gonzaga"/>
        <s v="JARDIEL"/>
        <m/>
        <s v="Santiago"/>
        <s v="BUGAGAO"/>
        <s v="MARCOS"/>
        <s v="Matabang"/>
        <s v="T."/>
        <s v="JOVERO"/>
        <s v="Briola"/>
        <s v="NAPOLES"/>
        <s v="Cagbay"/>
        <s v="Torres"/>
        <s v="Lamerez"/>
        <s v="Caminata"/>
        <s v="BASA"/>
        <s v="ESCARILLA"/>
        <s v="Mayrina "/>
        <s v="LAMPITOC"/>
        <s v="FRANCIA"/>
        <s v="Segundino"/>
        <s v="LADRASO"/>
        <s v="PILLE"/>
        <s v="Lago"/>
        <s v="Tabarejo"/>
        <s v="Pilapil"/>
        <s v="Montañano"/>
        <s v="SENTINA"/>
        <s v="Bitamug"/>
        <s v="Orolaza"/>
        <s v="UMOSO"/>
        <s v="AMANON"/>
        <s v="BATOBALANI"/>
        <s v="De Leon"/>
        <s v="Lulu"/>
        <s v="Angeles"/>
        <s v="BANDONG"/>
        <s v="Barabona"/>
        <s v="Ganangan"/>
        <s v="Bombeo"/>
        <s v="Silorio"/>
        <s v="N/A"/>
        <s v="Panilag"/>
        <s v="Gatbunton"/>
        <s v="MENDOZA"/>
        <s v="HURGO"/>
        <s v="REYMUNDA"/>
        <s v="Roxas"/>
        <s v="TACUEL"/>
        <s v="AQUINO"/>
        <s v="TORRECAMPO"/>
        <s v="PERNITES"/>
        <s v="VILLAMIL"/>
        <s v="Valdez "/>
        <s v="Capadosa"/>
        <s v="Valdez"/>
        <s v="MALLARI"/>
        <s v="Famacion "/>
        <s v="REVAÑO"/>
        <s v="Antonio"/>
        <s v="CAMPOS"/>
        <s v="BACANI"/>
        <s v="Rakila"/>
        <s v="Piloton"/>
        <s v="SANGCOPAN"/>
        <s v="Salic"/>
        <s v="Balt"/>
        <s v="Abes"/>
        <s v="TADO"/>
        <s v="ACAPULCO"/>
        <s v="BAYAO"/>
        <s v="Cortes"/>
        <s v="BATIGAS"/>
        <s v="EBDAO"/>
        <s v="ORZALES"/>
        <s v="JAMERO"/>
        <s v="CALVO"/>
        <s v="Iku"/>
        <s v="HASSAN"/>
        <s v="ABDULLAH"/>
        <s v="Cabanting"/>
        <s v="LUIS"/>
        <s v="NAVALLO"/>
        <s v="Garcia"/>
        <s v="ABEJUELA"/>
        <s v="DOMINGO"/>
        <s v="VILA"/>
        <s v="ILDEFONSO"/>
        <s v="MAMAO"/>
        <s v="IBALE"/>
        <s v="Nabales"/>
        <s v="PAMITTAN"/>
        <s v="Mina"/>
        <s v="Manalo"/>
        <s v="Bautista"/>
        <s v="VISAYA"/>
        <s v="GAPAY"/>
        <s v="SANICO"/>
        <s v="Acag"/>
        <s v="PACTO"/>
        <s v="CUNTAPAY"/>
        <s v="Tongcua"/>
        <s v="Viernes"/>
        <s v="Sabuero"/>
        <s v="PALERMO"/>
        <s v="Pandapatan"/>
        <s v="SOTELA"/>
        <s v="CRUZ"/>
        <s v="Militante"/>
        <s v="JARDINAN"/>
        <s v="Maray"/>
        <s v="MAESTRE"/>
        <s v="CERNIAS"/>
        <s v="Cornejo "/>
        <s v="DEREQUITO"/>
        <s v="Tacgos"/>
        <s v="NOBLEZA"/>
        <s v="Lanaca"/>
        <s v="Hiponia "/>
        <s v="Balinas"/>
        <s v="BANOGON"/>
        <s v="TADIFA"/>
        <s v="Delfin"/>
        <s v="Castro"/>
        <s v="TONDARES"/>
        <s v="Monera"/>
        <s v="Zamar"/>
        <s v="MARY ROSALYN"/>
        <s v="JARIOL"/>
        <s v="Garrucho"/>
        <s v="ESPANTON"/>
        <s v="Magallanes "/>
        <s v="JAÑALA"/>
        <s v="Bontilao"/>
        <s v="Capitle "/>
        <s v="Lomibao"/>
        <s v="ALDAMIA"/>
        <s v="Barcelon"/>
        <s v="Canto"/>
        <s v="Disomimba"/>
        <s v="PANES"/>
        <s v="BACARON"/>
        <s v="Castañeda"/>
        <s v="GENOVIA"/>
        <s v="Murillo"/>
        <s v="ENRIQUEZ"/>
        <s v="Belarmino "/>
        <s v="HALASAN"/>
        <s v="De Aquino"/>
        <s v="ACENAS"/>
        <s v="DYTIAPCO"/>
        <s v="Santillana"/>
        <s v="SAUBON"/>
        <s v="ESCARO "/>
        <s v="ALCANTARA"/>
        <s v="Juros"/>
        <s v="LOPEZ"/>
        <s v="Romulo"/>
        <s v="Suba"/>
        <s v="AYQUE"/>
        <s v="GUIAPAR"/>
        <s v="TANCINCO"/>
        <s v="UAO"/>
        <s v="Natividad"/>
        <s v="RESPONSO"/>
        <s v="Palabrica"/>
        <s v="Sarip"/>
        <s v="Manuel"/>
        <s v="Ramasasa"/>
        <s v="De Vera"/>
        <s v="Munda"/>
        <s v="Libradilla"/>
        <s v="MAGBANUA"/>
        <s v="Fajilan"/>
        <s v="Abellanosa"/>
        <s v="MAGLUYAN"/>
        <s v="Suyao"/>
        <s v="Roa"/>
        <s v="Balandra"/>
        <s v="Nicdao"/>
        <s v="Germo"/>
        <s v="MIRANDA"/>
      </sharedItems>
    </cacheField>
    <cacheField name="FAMILY NAME" numFmtId="0">
      <sharedItems containsBlank="1">
        <s v="Fernandez"/>
        <s v="MENOR "/>
        <s v="BUDUAN "/>
        <s v="MALANNAG"/>
        <s v="Juan"/>
        <s v="Ramiscal"/>
        <s v="TAYAMAN"/>
        <s v="TAGUINOD"/>
        <s v="Dasayon"/>
        <s v="PAMILLARAN"/>
        <s v="Perez"/>
        <s v="SANTOS"/>
        <s v="Loresco"/>
        <s v="VALLES"/>
        <s v="Parayno"/>
        <s v="GERMONES"/>
        <s v="Cuaresma"/>
        <s v="ZABALZA"/>
        <s v="PAJARILLO"/>
        <s v="Lappay"/>
        <s v="Bucayu"/>
        <s v="ANNANG"/>
        <s v="Imperio"/>
        <s v="Ditona"/>
        <s v="Catabay"/>
        <s v="NOVENCIDO"/>
        <s v="JAVELLANA"/>
        <s v="Verganio"/>
        <s v="BALANLAYOS"/>
        <s v="FALLESGON"/>
        <s v="MUÑOZ"/>
        <s v="ROSALES"/>
        <s v="Urdaneta"/>
        <s v="ALCANTARA"/>
        <s v="TADIQUE"/>
        <s v="Gocio"/>
        <s v="ECHANO"/>
        <s v="CALAOAGAN"/>
        <s v="Aganus"/>
        <s v="MARUQUIN"/>
        <s v="NIKKA MEA"/>
        <s v="Pineda"/>
        <s v="JIMENEZ"/>
        <s v="Fuentes"/>
        <s v="Moreno"/>
        <s v="Riños"/>
        <s v="Pendon"/>
        <s v="CATINDIG"/>
        <s v="DEL NORTE"/>
        <s v="Mallari "/>
        <s v="DICULEN"/>
        <s v="MENDOZA"/>
        <s v="Santillan"/>
        <s v="MATEO"/>
        <s v="GUINTO"/>
        <s v="Sambas"/>
        <s v="Basallote"/>
        <s v="De Castro"/>
        <s v="Nueva"/>
        <s v="JARDENIL"/>
        <s v="Argal"/>
        <s v="Gerardo"/>
        <s v="ABAD"/>
        <s v="ALAMUDDIN"/>
        <s v="PAGDATO"/>
        <s v="Nietes"/>
        <s v="Privado"/>
        <s v="Quiming"/>
        <s v="DE VERA"/>
        <s v="Montejo"/>
        <s v="Burgos-Bagsic"/>
        <s v="Magarang"/>
        <s v="Hojilla"/>
        <s v="Arcamo"/>
        <s v="Castaneda"/>
        <s v="Mendaro"/>
        <s v="RAFOLS"/>
        <s v="MAGUAD"/>
        <s v="CABUHAYAN"/>
        <s v="Aguilar"/>
        <s v="EJERCITADO"/>
        <s v="PASAHOL"/>
        <s v="GARCIA"/>
        <s v="VITUG"/>
        <s v="DAVID"/>
        <s v="Ordinaria "/>
        <s v="Aspa"/>
        <s v="Cabilbigan "/>
        <s v="EMVERDA"/>
        <s v="Casagan"/>
        <s v="RUBIA"/>
        <s v="Magbanua"/>
        <s v="PATORGO"/>
        <s v="MARTINEZ"/>
        <s v="Talib"/>
        <s v="Cañete"/>
        <s v="COSARI"/>
        <s v="Comacasar"/>
        <s v="Datudacula"/>
        <s v="Morre"/>
        <s v="MAGDULA"/>
        <s v="LADESMA"/>
        <s v="CANDAO JR."/>
        <s v="SANDOVAL"/>
        <s v="Salvador"/>
        <s v="VILLANUEVA"/>
        <s v="FABRICANTE"/>
        <s v="GERMATA"/>
        <s v="MORDENO"/>
        <s v="DIMALEN"/>
        <s v="Adjilani"/>
        <s v="HAJIM"/>
        <s v="LUGAYAK"/>
        <s v="Calumpag"/>
        <s v="PACE"/>
        <s v="ENTENIA"/>
        <s v="Calvero"/>
        <s v="CAMPAÑERO"/>
        <s v="SEVILLO"/>
        <s v="ANTONIO"/>
        <s v="MUSTAPHA"/>
        <s v="NALDO"/>
        <s v="Apepe"/>
        <s v="CARIÑO"/>
        <s v="Abrena"/>
        <s v="Medina"/>
        <s v="Pascual"/>
        <s v="FORONDA"/>
        <s v="MARTIN"/>
        <s v="CANTOR"/>
        <s v="Discar"/>
        <s v="PELINGON"/>
        <s v="DAWA"/>
        <s v="ULNAGAN"/>
        <s v="Cubio"/>
        <s v="Calzada"/>
        <s v="Pastor"/>
        <s v="ORACION"/>
        <s v="Macalangcom"/>
        <s v="CLAUDIO"/>
        <s v="SAMBRANO"/>
        <s v="Rubin"/>
        <s v="REGENCIA"/>
        <s v="Pedere "/>
        <s v="MONTECIR"/>
        <s v="TRAZA"/>
        <s v="Atienza "/>
        <s v="SARABIA"/>
        <s v="EALDAMA"/>
        <s v="Azurin"/>
        <s v="Magbanua "/>
        <s v="Ganancial"/>
        <s v="DE LOS REYES"/>
        <s v="GALLARDE"/>
        <s v="AGOJO"/>
        <s v="Yam-oc"/>
        <s v="Advento"/>
        <s v="Roque"/>
        <s v="JULIAN"/>
        <s v="Tecson"/>
        <s v="Bravo"/>
        <s v="PALACIOS"/>
        <s v="OLARIO"/>
        <s v="Camasura"/>
        <s v="ARGUELLES"/>
        <s v="Benjamin "/>
        <s v="ALONSABE"/>
        <s v="Cagas"/>
        <s v="De Guzman "/>
        <s v="Frias"/>
        <s v="BACAREZA"/>
        <s v="Gargarita "/>
        <s v="Vego"/>
        <s v="Solaiman"/>
        <s v="PACARDO"/>
        <s v="BONTILAO"/>
        <s v="Farillon"/>
        <s v="DASILAO"/>
        <s v="Boje"/>
        <s v="EIJANSANTOS"/>
        <s v="Odtojan"/>
        <s v="ZAPATOS"/>
        <s v="Figuracion"/>
        <s v="ADANZA"/>
        <s v="TAFALENG"/>
        <s v="Villanobos"/>
        <s v="ESPINA"/>
        <s v="GENOTIVA "/>
        <s v="GARSUTA"/>
        <s v="Benedicto"/>
        <s v="DE TORRES"/>
        <s v="Tacardon"/>
        <s v="Isla"/>
        <s v="SAMSON"/>
        <s v="PANEGAS"/>
        <s v="BUENSUCESO"/>
        <s v="BAUTISTA"/>
        <s v="Manango"/>
        <s v="VILLAMIN"/>
        <s v="Pepito"/>
        <s v="Sadic"/>
        <s v="Posadas"/>
        <s v="ADAO"/>
        <s v="Siso"/>
        <s v="Mesa"/>
        <s v="Tunay"/>
        <s v="MARQUEZ"/>
        <s v="Diaz"/>
        <s v="Raagas"/>
        <s v="NECESITO"/>
        <s v="Dumapit"/>
        <s v="Sarmiento"/>
        <s v="Pelpinosas"/>
        <s v="Laxamana"/>
        <s v="Asilo"/>
        <s v="CAAY"/>
        <m/>
      </sharedItems>
    </cacheField>
    <cacheField name="PAMET ID Number (Follow the format &quot;e.g. 25123-88-Ab&quot;)">
      <sharedItems containsBlank="1" containsMixedTypes="1" containsNumber="1" containsInteger="1">
        <s v="6055-44-Ab"/>
        <s v="1992-77-Ab"/>
        <s v="30866-77-Ab"/>
        <s v="11704-74-Ab"/>
        <s v="56155-74-Ab"/>
        <s v="3645-78-Ab"/>
        <s v="16375-78-Ab"/>
        <s v="17039-78-Ab"/>
        <s v="11365-78-Aa"/>
        <s v="8015-02-Ab"/>
        <s v="13743-78-Aa"/>
        <s v="7517-02-Ab"/>
        <s v="8330-45-Ab"/>
        <s v="28879-38-Ab"/>
        <s v="13517-78-Ab"/>
        <s v="3727-52-Ab"/>
        <s v="2096-02-Ab"/>
        <s v="7640-02-Ab"/>
        <s v="19419-78-Aa"/>
        <s v="28405-78-Aa"/>
        <s v="61426-78-Ab"/>
        <s v="6891-78-Aa"/>
        <n v="9029.0"/>
        <n v="10876.0"/>
        <s v="74320-02-Aa"/>
        <s v="79504-02-Aa"/>
        <s v="51184-34-Ab"/>
        <s v="36674-42-Ab"/>
        <s v="18669-54-Ab"/>
        <s v="3986-42-Ab"/>
        <s v="39224-35-Ab"/>
        <s v="39228-35-Ab"/>
        <s v="60201-54-Ab"/>
        <s v="79517-44-Aa"/>
        <s v="79516-44-Aa"/>
        <s v="51869-44-Ab"/>
        <s v="18169-54-Ab"/>
        <s v="15899-77-Ab"/>
        <s v="57178-77-Aa"/>
        <s v="14873-77Ab"/>
        <s v="75055-88-Aa"/>
        <s v="33480-54-Ab"/>
        <s v="33528-54-Ab"/>
        <s v="15503-33-Ab"/>
        <s v="8576-42-Ab"/>
        <s v="60386-88-Ab"/>
        <s v="19584-33-Ab"/>
        <s v="14763-77-Ab"/>
        <s v="16796-33-AB"/>
        <s v="79567-45-Aa"/>
        <s v="10822-77-Ab"/>
        <s v="36647-42-Aa"/>
        <s v="19653-38-Ab"/>
        <s v="12311-32-Aa"/>
        <s v="4168-54-Ab"/>
        <s v="79501-88-Ab"/>
        <s v="63498-88-Ab"/>
        <s v="7245-49-Ab"/>
        <s v="7246-49-Aa"/>
        <s v="58153-36-Ab"/>
        <s v="69633-78-Aa"/>
        <s v="69635-78-Aa"/>
        <s v="69636-78-Aa"/>
        <s v="13570-62-Ab"/>
        <s v="60272-38-Aa"/>
        <s v="30313-02-Ab"/>
        <s v="4548-02-Ab"/>
        <s v=" 79585-88-Aa"/>
        <s v="16454-02-Ab"/>
        <s v="13026-49-Ab"/>
        <s v="34936-74-Ab"/>
        <s v="79584-88-Aa"/>
        <s v="13086-33-Ab"/>
        <s v="38105-38-Ab"/>
        <s v="64157-38-Ab"/>
        <s v="39411-02-Aa"/>
        <s v="16808-36-Ab"/>
        <s v="60084-36-Ab"/>
        <s v="58719-02-Ab"/>
        <s v="15434-02-Ab"/>
        <s v="54294-33-Aa"/>
        <s v="13543-45-Ab"/>
        <s v="15285-45-Ab"/>
        <s v="13542-45-Ab"/>
        <s v="24651-45-Ab"/>
        <n v="0.0"/>
        <s v="00000-00-Ab"/>
        <s v="63179-54-Ab"/>
        <s v="18173-88-Aa"/>
        <s v="71255-88-Aa"/>
        <s v="5289-02-Ab"/>
        <s v="0091034"/>
        <s v="64314-85-Ab"/>
        <s v="9105-52-Ab"/>
        <s v="21572-44-Ab"/>
        <s v="71299-88-Aa"/>
        <s v="27950-64-Ab"/>
        <s v="18691-64-Ab"/>
        <s v="53583-64-Ab"/>
        <s v="53115-88-Ab"/>
        <s v="11404-88-Ab"/>
        <s v="79701-88-Aa"/>
        <s v="0048426"/>
        <s v="71161-02-Aa"/>
        <s v="MO2026-0038"/>
        <s v="79390-88-Aa"/>
        <s v="79407-88-Aa"/>
        <s v="63500-86-Ab"/>
        <s v="8511-86-Ab"/>
        <s v="33385-64-aA"/>
        <s v="79508-62-Aa"/>
        <s v=" 79521-62-Aa"/>
        <s v="28552-64-Ab"/>
        <s v="79536-82-Aa"/>
        <s v="61513-78-Ab"/>
        <s v="24992-86-Ab"/>
        <s v="79395-78-Aa"/>
        <s v="51456-88-Aa"/>
        <s v="77029-83-Aa"/>
        <s v="11191-36-Ab"/>
        <s v="14560-42-Ab"/>
        <s v="19374-64-Ab"/>
        <s v="60980-52-Ab"/>
        <s v="24776-02-Ab"/>
        <s v="22348-02-Aa"/>
        <n v="12868.0"/>
        <s v="18272-46-Ab"/>
        <s v="63589-74-Ab"/>
        <s v="33963-74-Ab"/>
        <s v="69701-78-Aa"/>
        <s v="61741-78-Aa"/>
        <s v="39007-36-Ab"/>
        <s v="24215-74-Ab"/>
        <s v="68434-74-Aa"/>
        <s v="53426-48-Ab"/>
        <s v="68438-78-Aa"/>
        <s v="53929-65-Ab"/>
        <s v="67658-48-Aa"/>
        <s v="38744-64-Ab"/>
        <s v="79721-02-Aa"/>
        <s v="64822-46-Aa"/>
        <s v="65245-78-Aa"/>
        <s v="9020-88-Ab"/>
        <s v="19051-42-Ab"/>
        <s v="5885-53-Ab"/>
        <s v="79505-88-Aa"/>
        <s v="79500-88-Aa"/>
        <s v="24218-78-Ab"/>
        <s v="78374-88-Aa"/>
        <s v="“11405-88-Ab”"/>
        <s v="8658-34-Av"/>
        <s v="8657-34-Ab"/>
        <s v="10454-34-Ab"/>
        <s v="27924-34-Ab"/>
        <s v="15177-34-Ab"/>
        <s v="79841-88-Aa"/>
        <s v="10980-36-Ab"/>
        <s v="79807-88-Aa"/>
        <s v="18982-49-Aa"/>
        <s v="9256-49-Aa"/>
        <s v="6544-36-Ab"/>
        <s v="31746-34-Ab"/>
        <s v="63925-34-Ab"/>
        <s v="79518-88-Aa"/>
        <s v="34917-34-Ab"/>
        <s v="6613-34-Ab"/>
        <s v="53648-33-Ab"/>
        <s v="22758-88-Ab"/>
        <s v="15635-75-Ab"/>
        <s v="58169-75-Ab"/>
        <s v="40393-88-Ab"/>
        <s v="17009-33-Ab"/>
        <s v="27812-33-Aa"/>
        <s v="74378-88-Aa"/>
        <s v="32736-33-Ab"/>
        <s v="23481-88-Ab"/>
        <s v="1055-88-Ab"/>
        <s v="20195-88-Ab"/>
        <s v="8274-62-Ab"/>
        <s v="68614-88-Aa"/>
        <s v="65807-88-Ab"/>
        <s v="63468-88-Ab"/>
        <s v="25841-74-Ab"/>
        <s v="63973-86-Ab"/>
        <s v="66902-85-Aa"/>
        <s v="23651-83-Ab"/>
        <s v="8360-34-Ab"/>
        <s v="18146-34-Ab"/>
        <s v="37107-974-aB"/>
        <s v="17247-02-Ab"/>
        <s v="37233-78-Ab"/>
        <s v="28961-52-Ab"/>
        <s v="54236-82-Ab"/>
        <s v="23782-78-Ab"/>
        <s v="52086-78-Ab"/>
        <s v="15688-78-Ab"/>
        <s v="68877-32-Aa"/>
        <s v="79566-88-Aa"/>
        <s v="19002-75-Ab"/>
        <s v="20610-02-Ab"/>
        <s v="30646-44-Aa"/>
        <s v="19425-02-Ab"/>
        <s v="5918-49-Ab"/>
        <s v="80481-32-Aa"/>
        <s v="75211-82-Aa"/>
        <s v="37603-02-Ab"/>
        <s v="77889-82-Aa"/>
        <s v="28434-88-Ab"/>
        <s v="55680-88-Aa"/>
        <s v="54474-88-Ab"/>
        <s v="79137-02-Aa"/>
        <s v="55665-88-Aa"/>
        <s v="79520-88-Aa"/>
        <m/>
      </sharedItems>
    </cacheField>
    <cacheField name="PAMET ID Validity Date">
      <sharedItems containsDate="1" containsString="0" containsBlank="1" containsMixedTypes="1">
        <d v="2028-12-31T00:00:00Z"/>
        <d v="2026-12-31T00:00:00Z"/>
        <d v="2027-12-31T00:00:00Z"/>
        <d v="2027-09-30T00:00:00Z"/>
        <d v="2026-09-30T00:00:00Z"/>
        <d v="2025-12-31T00:00:00Z"/>
        <d v="2025-09-01T00:00:00Z"/>
        <d v="2027-02-08T00:00:00Z"/>
        <d v="2040-12-31T00:00:00Z"/>
        <d v="2027-09-26T00:00:00Z"/>
        <d v="2029-12-31T00:00:00Z"/>
        <d v="2028-12-20T00:00:00Z"/>
        <d v="2031-12-29T00:00:00Z"/>
        <d v="2027-12-24T00:00:00Z"/>
        <d v="2028-09-30T00:00:00Z"/>
        <d v="2007-03-06T00:00:00Z"/>
        <d v="2031-12-30T00:00:00Z"/>
        <d v="2026-12-21T00:00:00Z"/>
        <n v="-684098.0"/>
        <d v="2026-12-30T00:00:00Z"/>
        <d v="2031-12-31T00:00:00Z"/>
        <d v="2026-04-08T00:00:00Z"/>
        <d v="2028-10-08T00:00:00Z"/>
        <d v="2029-03-31T00:00:00Z"/>
        <d v="2019-09-01T00:00:00Z"/>
        <d v="2025-09-30T00:00:00Z"/>
        <d v="2029-03-20T00:00:00Z"/>
        <d v="2027-03-05T00:00:00Z"/>
        <d v="2001-02-01T00:00:00Z"/>
        <d v="2026-02-26T00:00:00Z"/>
        <d v="2026-12-13T00:00:00Z"/>
        <d v="2027-12-23T00:00:00Z"/>
        <d v="2028-12-14T00:00:00Z"/>
        <d v="2030-09-30T00:00:00Z"/>
        <d v="2030-12-31T00:00:00Z"/>
        <d v="2026-12-12T00:00:00Z"/>
        <d v="2030-12-30T00:00:00Z"/>
        <d v="2027-04-07T00:00:00Z"/>
        <d v="2027-04-21T00:00:00Z"/>
        <d v="2029-09-01T00:00:00Z"/>
        <d v="2027-04-26T00:00:00Z"/>
        <d v="2029-12-20T00:00:00Z"/>
        <d v="2026-11-28T00:00:00Z"/>
        <d v="2026-04-23T00:00:00Z"/>
        <d v="2026-03-13T00:00:00Z"/>
        <m/>
      </sharedItems>
    </cacheField>
    <cacheField name="PAMET Chapter" numFmtId="0">
      <sharedItems containsBlank="1">
        <s v="BULACAN"/>
        <s v="ILOCOS NORTE"/>
        <s v="KALINGA-APAYAO"/>
        <s v="CAGAYAN"/>
        <s v="ILOILO"/>
        <s v="PAMPANGA"/>
        <s v="BOHOL"/>
        <s v="ALBAY"/>
        <s v="N/A"/>
        <s v="MISAMIS ORIENTAL-CAGAYAN DE ORO"/>
        <s v="NCR"/>
        <s v="NEGROS OCCIDENTAL"/>
        <s v="QUEZON"/>
        <s v="CAMARINES NORTE"/>
        <s v="NEGROS ORIENTAL-SIQUIJOR"/>
        <s v="NUEVA ECIJA"/>
        <s v="CEBU"/>
        <s v="BUKIDNON"/>
        <s v="LAGUNA"/>
        <s v="ANTIQUE"/>
        <s v="ZAMBOANGA CITY"/>
        <s v="BAGUIO-BENGUET-MT. PROVINCE"/>
        <s v="NORTH COTABATO"/>
        <s v="AGUSAN DEL NORTE-BUTUAN"/>
        <s v="LANAO DEL NORTE-ILIGAN"/>
        <s v="LANAO DEL SUR-MARAWI"/>
        <s v="COTABATO-MAGUINDANAO"/>
        <s v="SURIGAO DEL NORTE"/>
        <s v="ZAMBOANGA DEL SUR"/>
        <s v="DAVAO CITY"/>
        <s v="ISABELA"/>
        <s v="SOCSKSARGEN"/>
        <s v="CAVITE"/>
        <s v="PALAWAN"/>
        <s v="ZAMBOANGA DEL NORTE"/>
        <s v="LEYTE-BILIRAN"/>
        <s v="MISAMIS OCCIDENTAL"/>
        <s v="CAPIZ"/>
        <s v="PANGASINAN"/>
        <m/>
      </sharedItems>
    </cacheField>
    <cacheField name="Email Address" numFmtId="0">
      <sharedItems containsBlank="1">
        <s v="eileenrowenaicban@yahoo.com"/>
        <s v="pemm_rmt@yahoo.com"/>
        <s v="nenitacastillobuduan@gmail.com"/>
        <s v="apmalannag@gmail.com"/>
        <s v="eylinaromin77@gmail.com"/>
        <s v="rriobelle@gmail.com"/>
        <s v="corajanet2025@gmail.com"/>
        <s v="Dmtaguinod@gmail.com"/>
        <s v="lendmelad@yahoo.com"/>
        <s v="pinaiskie@gmail.com"/>
        <s v="consperez3869@gmail.com"/>
        <s v="chedsantos@gmail.com"/>
        <s v="annetteapostol@gmail.com"/>
        <s v="jillmariebuaya94@gmail.com"/>
        <s v="Iegparayno@gmail.com"/>
        <s v="haelgermones18@gmail.com"/>
        <s v="daizcuaresma03@gmail.com"/>
        <s v="zabalzajeannette@gmail.com"/>
        <s v="dorothypajarillo7478@gmail.com"/>
        <s v="mallillinjarie@gmail.com"/>
        <s v="bucayumark@gmail.com"/>
        <s v="pilgracesoliven@yahoo.com"/>
        <s v="melin_imperio@yahoo.com"/>
        <s v="dma.carmela@yahoo.com"/>
        <s v="wseancatabay@gmail.com"/>
        <s v="novencidojc@gmail.com"/>
        <s v="krizeljavellana@gmail.com"/>
        <s v="marinelle0821@gmail.com"/>
        <s v="NEILBALANLAYOS@GMAIL.COM"/>
        <s v="makhrayl09@gmail.com"/>
        <s v="chrismun2011@gmail.com"/>
        <s v="kiahspartan41@gmail.com"/>
        <s v="andreigonzagaurdaneta@gmail.com"/>
        <s v="nerissa.alcantara18@gmail.com"/>
        <s v="rietadiquermt@gmail.com"/>
        <s v="kimgocio@gmail.com"/>
        <s v="gbechano8@gmail.com"/>
        <s v="donna_mp_marcos@yahoo.com"/>
        <s v="kristineaganus76@gmail.com"/>
        <s v="maruquin.rmt18@gmail.com"/>
        <s v="nikkavistal@gmail.com"/>
        <s v="johnpinedafinancials@gmail.com"/>
        <s v="427ajnj@gmail.com"/>
        <s v="fsharonrose@yahoo.com"/>
        <s v="khrstn_torres@yahoo.com"/>
        <s v="rmtalysa79@gmail.com"/>
        <s v="ocpplay@gmail.com"/>
        <s v="dhen.catindig@yahoo.com"/>
        <s v="renadelnorte0806@gmail.com"/>
        <s v="cvmclinlab@gmail.com "/>
        <s v="manolitoldiculen@gmail.com"/>
        <s v="bernizm20@gmail.com"/>
        <s v="merlie271977@gmail.com"/>
        <s v="rlmateo68@gmail.com"/>
        <s v="precilaguinto@gmail.com"/>
        <s v="roi.prototype@gmail.com"/>
        <s v="dyyangevero@gmail.com"/>
        <s v="arlenedecastro@cardmri.com"/>
        <s v="nuevalalie@gmail.com"/>
        <s v="jillianisabelle48@gmail.com"/>
        <s v="hannahkathleenargal22@gmail.com"/>
        <s v="majosephineg8@gmail.com"/>
        <s v="jobhelchristyabad@gmail.com"/>
        <s v="fatihaalamuddin@gmail.com"/>
        <s v="nilevierginebpagdato@gmail.com"/>
        <s v="thebz_deleon@yahoo.com"/>
        <s v="jlprivado@up.edu.ph"/>
        <s v="mariejane.a.quiming@gmail.com"/>
        <s v="mbdevera5@up.edu.ph"/>
        <s v="sey218@yahoo.com"/>
        <s v="dalyn3487@gmail.com"/>
        <s v="Tapmag.tm@gmail.com"/>
        <s v="cedee_hojilla@yahoo.com"/>
        <s v="patarcamo@gmail.com"/>
        <s v="jackiepc36@gmail.com"/>
        <s v="evemendaro030810@gmail.com"/>
        <s v="hamticrhulaboratory@gmail.com"/>
        <s v="ann12maguad@gmail.com"/>
        <s v="pmcabuhayan@gmail.com"/>
        <s v="marie041474@gmail.com"/>
        <s v="ctejercitado@up.edu.ph"/>
        <s v="rlmmc.bb@gmail.com"/>
        <s v="ptgarcia1120@gmail.com"/>
        <s v="sek14vitug@gmail.com"/>
        <s v="ajvdrmt@gmail.com"/>
        <s v="elmerordinaria7677@gmail.com"/>
        <s v="aspamarylou@gmail.com"/>
        <s v="lovelymae050795@gmail.com"/>
        <s v="fmemverda@my.mvc.edu.ph"/>
        <s v="simonee.casagan@gmail.com"/>
        <s v="arrmt98@gmail.com"/>
        <s v="kristmaymagbanua@gmail.com"/>
        <s v="kcpatorgo@yahoo.com"/>
        <s v="mvm_p7@yahoo.com.ph"/>
        <s v="alnortalib@gmail.com"/>
        <s v="shawnkeziahcanete@gmail.com"/>
        <s v="rayancosari27@gmail.com"/>
        <s v="hasbiahcomacasar@gmail.com"/>
        <s v="sambaltdatudacula24@gmail.com"/>
        <s v="aprilhynmorre@gmail.com"/>
        <s v="magdulaanabel@gmail.com"/>
        <s v="janenejladesma@gmail.com"/>
        <s v="nhotcandao@gmail.com"/>
        <s v="jomarisando@gmail.com"/>
        <s v="yanissalvador09@gmail.com"/>
        <s v="jstadvillanueva525@gmail.com"/>
        <s v="reindonzel1020@gmail.com"/>
        <s v="germatachristian@gmail.com"/>
        <s v="germatachristian298@gmail.com"/>
        <s v="sharinadimalen21@gmail.com"/>
        <s v="aemanikuadjilani@gmail.com"/>
        <s v="mizzyhajim@gmail.com"/>
        <s v="shrhnlgyk@gmail.com"/>
        <s v="calumpaglovely@gmail.com"/>
        <s v="ginermt2019@gmail.com"/>
        <s v="enteniaronnie2@gmail.com"/>
        <s v="calverojustine123@gmail.com"/>
        <s v="chrisselmarie@gmail.com"/>
        <s v="bridgette.lynn0731@gmail.com"/>
        <s v="mhetzy0331@gmail.com"/>
        <s v="kenneth.antonio.md@gmail.com"/>
        <s v="faizahmustapha99@gmail.com"/>
        <s v="reginacoelinaldo@gmail.com"/>
        <s v="q.apepe@yahoo.com"/>
        <s v="sabrina15dc@yahoo.com"/>
        <s v="vincentabrena@gmail.com"/>
        <s v="jazminmanalomedina@gmail.com"/>
        <s v="alonapascual@yahoo.com"/>
        <s v="forondaelpidio07@gmail.com"/>
        <s v="ivyrmt082014@gmail.com"/>
        <s v="christenegaleycantorrmt@gmail.com"/>
        <s v="macydiscar3@gmail.com"/>
        <s v="preciousemerald1216@gmail.com"/>
        <s v="jendawacmsh@gmail.com"/>
        <s v="ulnaganmarckylie@gmail.com"/>
        <s v="ronilyncubio@gmail.com"/>
        <s v="kekerwin26@gmail.com"/>
        <s v="pscarletgayii@gmail.com"/>
        <s v="joylenmpo@gmail.com"/>
        <s v="ofranrmt@gmail.com"/>
        <s v="normiclaudio@yahoo.com"/>
        <s v="irish.sambrano08@gmail.com"/>
        <s v="fernandezdanieca011@gmail.com"/>
        <s v="rubinmerlie@gmail.com"/>
        <s v="aprilroseregencia22@gmail.com"/>
        <s v="reynaldompedere@gmail.com"/>
        <s v="maestrerhayacoleen@gmail.com"/>
        <s v="elnaecsainrec@gmail.com"/>
        <s v="aileenatienza.ergmc@gmail.com "/>
        <s v="BENSARABIA@GMAIL.COM"/>
        <s v="magdulajaime1970@gmail.com"/>
        <s v="jnealdama13@gmail.com"/>
        <s v="azurinmasylvia2018@gmail.com"/>
        <s v="amazingmarlee001@gmail.com"/>
        <s v="louela.ganancialrmt@gmail.com"/>
        <s v="cv929gbd@yahoo.com.ph"/>
        <s v="gallardechariemae@gmail.com"/>
        <s v="rosario.agojo@redcross.org.ph"/>
        <s v="ychristineleonor@gmail.com"/>
        <s v="adventovinamarie@gmail.com"/>
        <s v="deleonmaristella@gmail.com"/>
        <s v="carsantiago@ymail.com"/>
        <s v="raymundjaketecson@gmail.com"/>
        <s v="Kharl.KB@gmail.com"/>
        <s v="mrpalacios1610@gmail.com"/>
        <s v="olario.juicy@gmail.com"/>
        <s v="jan1490camasura@gmail.com"/>
        <s v="joseallanarguelles104@gmail.com"/>
        <s v="kambal.kapid@gmail.com"/>
        <s v="jnjalonsabe@gmail.com"/>
        <s v="maytwee@yahoo.com"/>
        <s v="lennie_dguzman@yahoo.com"/>
        <s v="friasevarose988@gmail.com"/>
        <s v="vanessajeaneb@gmail.com"/>
        <s v="carrgargarita14@gmail.com"/>
        <s v="debbierose128@gmail.com"/>
        <s v="solaimancaironzaman@gmail.com"/>
        <s v="caryl.pacardo@yahoo.com"/>
        <s v="ellenbontilao04@gmail.com"/>
        <s v="Cristinejoyfarillon@gmail.com"/>
        <s v="dasilaofe63@gmail.com"/>
        <s v="chrioneeboje11011986@gmail.com"/>
        <s v="aileenbutternut@gmail.com"/>
        <s v="annodtojan82@gmail.com"/>
        <s v="zapatos57@gmail.com"/>
        <s v="ezekiahfiguracion@gmail.com"/>
        <s v="adanza.aprilkate@gmail.com"/>
        <s v="masterkitlee@gmail.com"/>
        <s v="asvillanobos@gmail.com"/>
        <s v="theahannahespina@gmail.com"/>
        <s v="charinagenotiva429@gmail.com "/>
        <s v="theresemay16@gmail.com"/>
        <s v="benedictomalovella@gmail.com"/>
        <s v="meldt1367@gmail.com"/>
        <s v="mrsjmtacardon@gmail.com"/>
        <s v="johnpaulisla@gmail.com"/>
        <s v="cyrusrmt2016@gmail.com"/>
        <s v="dgpanegas@gmail.com"/>
        <s v="jenaluz.buensuceso@gmail.com"/>
        <s v="ninalyssa5@gmail.com"/>
        <s v="dianamanango123456@gmail.com"/>
        <s v="villaminvilma2@gmail.com"/>
        <s v="pepito.alyssa@gmail.com"/>
        <s v="husseinsadic@gmail.com"/>
        <s v="luzmposadas40673@gmail.com"/>
        <s v="dyrelle.diey@gmail.com"/>
        <s v="yojecinaj@gmail.com"/>
        <s v="mesabing941@gmail.com"/>
        <s v="marizamtunay@gmail.com"/>
        <s v="bellefuentes20@gmail.com"/>
        <s v="gloryneilm@gmail.com"/>
        <s v="paroladiaz@gmail.com"/>
        <s v="Kimzalde@gmail.com"/>
        <s v="haniegracenecesito122901@gmail.com"/>
        <s v="charmelea1201@gmail.com"/>
        <s v="denisebiancasarmiento@gmail.com"/>
        <s v="jirahpelpinosas@gmail.com"/>
        <s v="jojolaxamana22@gmail.com"/>
        <s v="mjgasilormt@gmail.com"/>
        <s v="caaychristjohn@gmail.com"/>
        <m/>
      </sharedItems>
    </cacheField>
    <cacheField name="Proof of Payment (Deposit Slip, On-line transaction Receipt)" numFmtId="0">
      <sharedItems containsBlank="1">
        <s v="https://drive.google.com/open?id=1hPUo_uwUG9LsdxSHNO9uHNz4YZQmnG12"/>
        <s v="https://drive.google.com/open?id=1FdlzzLWs_N6WefOlYgZEQcTzYv9HyyC8"/>
        <s v="https://drive.google.com/open?id=1q-qhd_B5sVFNRoLNg4gPoaYOKbsWO8jd"/>
        <s v="https://drive.google.com/open?id=1YaZgjQFU1sDZzxfQepsIeRc9D232PwSg"/>
        <s v="https://drive.google.com/open?id=1O2ReKba10XmNsYf3jjlXHHEfI7w1N_2F"/>
        <s v="https://drive.google.com/open?id=1Amk_U83Zck3BYpAmwRCqvWyUjDtx93PB"/>
        <s v="https://drive.google.com/open?id=1AA8i09n6dpg3S45yLq55IRMcXm3BtLo0"/>
        <s v="https://drive.google.com/open?id=1yEPo7BgEz9S-DF1roTVu3LYrfw1vR7zY"/>
        <s v="https://drive.google.com/open?id=1l81Fj_ErZrHJAdNHakt1MlyJdQ10DkOz"/>
        <s v="https://drive.google.com/open?id=1RriSODDH1BqyHvnA0cDi83JF3K64qpql"/>
        <s v="https://drive.google.com/open?id=1JckUQyD6ciBwB4qDhWccp5068xFGugxm"/>
        <s v="https://drive.google.com/open?id=1HVSjqhHa8LO027R3HuXCcu9MjZL1E7hj"/>
        <s v="https://drive.google.com/open?id=1xmkhd-BUDelroorDXfVX9aYntfJnfMID"/>
        <s v="https://drive.google.com/open?id=1VlMy7tXprBWmxIUAu1dJQlN0MtBaqPM0"/>
        <s v="https://drive.google.com/open?id=1M9LhOpT_cpINzc2Flm1FV6ANpiRvLjtP"/>
        <s v="https://drive.google.com/open?id=1JPpqGSefIV7Oz-xPwdpRXsOs-nIQR7qi"/>
        <s v="https://drive.google.com/open?id=1oSMrnEvh_i0LXjaYeRFT62Fy7jgCGv9x"/>
        <s v="https://drive.google.com/open?id=1W9_PZjsYAeWkPV25t8-i01Q1-Hkx8T07"/>
        <s v="https://drive.google.com/open?id=1vr9vp6oYYOD_dkdBnJ876rCO362QAJ8L"/>
        <s v="https://drive.google.com/open?id=1roSKxNCLmsRqW8p9aJyr4ZbJ75k_mLuP"/>
        <s v="https://drive.google.com/open?id=18orYwsoX39IW2rZtGGbYIwm5veHk0fMB"/>
        <s v="https://drive.google.com/open?id=17mAbt8xZYaO1TzguLsuhXv0K26vc8lDi"/>
        <s v="https://drive.google.com/open?id=14WUQDHHIZW53E1SJZdrkaU_VzebuWcoC"/>
        <s v="https://drive.google.com/open?id=1h2kbM7nn3WMC_6cnb35JtomPIK2CUPf0"/>
        <s v="https://drive.google.com/open?id=1PPk417-VtAXrrFLCpa89Oz4utg4K13h1"/>
        <s v="https://drive.google.com/open?id=1__-PV0oM05lP41rzasjB4xAraJVpEDRU"/>
        <s v="https://drive.google.com/open?id=106mGuNtLk-roMtQmD43MNM0VXSMRCNgo"/>
        <s v="https://drive.google.com/open?id=1IAiDGvxCu1ThpxX7e1TasvBuF7ezjbrA"/>
        <s v="https://drive.google.com/open?id=1N_UwH_4WAthpdVi3YEgRVxG1CXA49oKE"/>
        <s v="https://drive.google.com/open?id=1V0o8r_jXutXCTvXptHS_ZUxF2WB1GSjk"/>
        <s v="https://drive.google.com/open?id=1B37S7mWfWuNwG1d4yEBjEIWOJB7CcCIX"/>
        <s v="https://drive.google.com/open?id=1pxeYQ3kBxVfTZm7BqZe8vtN3BjxKjONO"/>
        <s v="https://drive.google.com/open?id=10FkeO6O5rjA1WBSIxqNpbZC4WwauSe4g"/>
        <s v="https://drive.google.com/open?id=1SFOiFkPvm7VkHd5KC8r5KBelcM3_MX3Q"/>
        <s v="https://drive.google.com/open?id=1dQgi7Try_J6lbe9cnR6PqGNrp5edvw8i"/>
        <s v="https://drive.google.com/open?id=1d_F6CLBbCH_3sgmrQtalpQV8DBT0uWUM"/>
        <s v="https://drive.google.com/open?id=19wvcEo6L_rLBM1qNxwUv-FC-7-Tw8yNZ"/>
        <s v="https://drive.google.com/open?id=1SjKIWOAvwzgiq9qOGxf94j1nazUuo3go"/>
        <s v="https://drive.google.com/open?id=1NEV8TRR2ng2tLim5lcW-NIshR_uTi_4B"/>
        <s v="https://drive.google.com/open?id=1IxBH_Ukt-eAs5knz4N4CZ5cYIcnYVS1z"/>
        <s v="https://drive.google.com/open?id=1wtaaVgnS54rdLVChC7XKaLsTGFaJNpi2"/>
        <s v="https://drive.google.com/open?id=1zxLNxwcWeEwXoJ200VEuB9-_nKwr8eid"/>
        <s v="https://drive.google.com/open?id=1bWO1SuGdYzUqh8LFZhuDAi903Lf6X9ve"/>
        <s v="https://drive.google.com/open?id=1LYsTC1t29144YdiVQlfTpJSelmRRQinL"/>
        <s v="https://drive.google.com/open?id=1a9bCjSzimyIiFDaibwkf_UmaMXzz9L-v"/>
        <s v="https://drive.google.com/open?id=1cxEVbsAvi-d8-VZgmIdgPXsgODXEbRJM"/>
        <s v="https://drive.google.com/open?id=10XeMll7kgg0OjtSuDBtIzafW_r8Tce9l"/>
        <s v="https://drive.google.com/open?id=1cxoK-y1aYtpfD1lzMwUOBEJg8qb22Th4"/>
        <s v="https://drive.google.com/open?id=1vWbo9Xr_uZZAP0S5kDuGut-ZvlT-AhVc"/>
        <s v="https://drive.google.com/open?id=1tCyVgLb-vjTEMqoEivlgsipmJvYqNt54"/>
        <s v="https://drive.google.com/open?id=1LjtdNS99W0dZWCxBscRE_9rddlQUCGrx"/>
        <s v="https://drive.google.com/open?id=1Tq_OHjaqhP5tfhQCR2EjzKzIQY5-fF4C"/>
        <s v="https://drive.google.com/open?id=1QUVZiEmWSyNkJq1wOzu5_c-Mak4IHHYN"/>
        <s v="https://drive.google.com/open?id=1ULWhD3nEeG6Z0F5Lkuejr_DgcgCAPlG0"/>
        <s v="https://drive.google.com/open?id=1sfJIa11u0JFBwNgXZGYSvs1tLl7Kc7ie"/>
        <s v="https://drive.google.com/open?id=1zhDj2ESic9QCjuAeKbGLTuh1082vaOpz"/>
        <s v="https://drive.google.com/open?id=1sa_O-l9fN_SyTqSPECrrW3p6xlMj6oae"/>
        <s v="https://drive.google.com/open?id=1ShUSy_Rbb88j4dGhnDYfX0xaYniWrvC_"/>
        <s v="https://drive.google.com/open?id=1hPNTizVuRbBRyUdO8p-3_OFCU022g78n"/>
        <s v="https://drive.google.com/open?id=1DOgQVWb-f0YJWV5jIGcopIVos3keKHG3"/>
        <s v="https://drive.google.com/open?id=1eEXYmPdpZasbzjmcj1yZyPRkCb7CTfbH"/>
        <s v="https://drive.google.com/open?id=1zvJqC9DbZ199IHQU3Fq-KSqdPnfyypNX"/>
        <s v="https://drive.google.com/open?id=1hMK2pnL14LCv3eUHDKrklKVor3Bw_xJZ"/>
        <s v="https://drive.google.com/open?id=1ItPN7yfu62v3dN5UPCfPnCXGcaZ4TtMA"/>
        <s v="https://drive.google.com/open?id=1mTjxNbHqOkAdyV7h-rSOm09ugRhZ7zUN"/>
        <s v="https://drive.google.com/open?id=1FZZ7tWQewZizs-T38N7le6d64Ne9DQ5D"/>
        <s v="https://drive.google.com/open?id=17EkGod0VFbiVBnqxFwK0IPnHOw7Vksdm"/>
        <s v="https://drive.google.com/open?id=173ZexuHvugDkbD2qE61YuYpS6ZBNEwa9"/>
        <s v="https://drive.google.com/open?id=1W65n5WN6ZoPIfU6xkOCCWeIF7ZzT4kJ9"/>
        <s v="https://drive.google.com/open?id=1eIkeCjw7xN7F8Ii12r-WdYlOUke6_4UZ"/>
        <s v="https://drive.google.com/open?id=1UDy_SL-gaAjyqYxY0KVe982-Jk4HWHSZ"/>
        <s v="https://drive.google.com/open?id=1ESagnBoBDmDOv5WbEwl0ieuwzYqClZg7"/>
        <s v="https://drive.google.com/open?id=1M6zNtj9-Gwac3OHZlYtS3NeX-u_QwvrM"/>
        <s v="https://drive.google.com/open?id=12Np-yW1Jk_PDSF2hq7m2veYFfOWHV08N"/>
        <s v="https://drive.google.com/open?id=1T2vSWi6rqOxz_Eby45pCZ3HOQSRZdAFO"/>
        <s v="https://drive.google.com/open?id=1PGNX53nrRVqJienNeWSjhinHjW6MNtC2"/>
        <s v="https://drive.google.com/open?id=1BLdO_cF6tGc-3uzZk5D_J_na-GB4wfQE"/>
        <s v="https://drive.google.com/open?id=1wRX1959vkr0YKkhSvwyB2Ww1VnpUH4Xa"/>
        <s v="https://drive.google.com/open?id=1Ou1oPdD8cxdFdkrup2ZBPD_fg9prNYO7"/>
        <s v="https://drive.google.com/open?id=1vxrkE3J2IB0vcCkhVjjonjUCQYJfbojG"/>
        <s v="https://drive.google.com/open?id=1SNYSZHuvwSE9MrK4aLx4Rqt6DXG30GUV"/>
        <s v="https://drive.google.com/open?id=1BAH2ep8QmMFAoPShbScwdcV_lv2tUuUr"/>
        <s v="https://drive.google.com/open?id=1H12ElJGvT5SIlgOKBdI-vLZde1KAoB0o"/>
        <s v="https://drive.google.com/open?id=1V3iezckK-y8Lp_tYtcn0xgkdc29zRCzh"/>
        <s v="https://drive.google.com/open?id=173gbCzr25cTRCDI1VwApcFwTFzC6Bf2q"/>
        <s v="https://drive.google.com/open?id=1MV9owIvLnw-2jeoJ8R7Tna4yJNlJL9MU"/>
        <s v="https://drive.google.com/open?id=1fHpZq4-l4CGPvl2ZWG3Hah5_AkAePOQx"/>
        <s v="https://drive.google.com/open?id=1QCoR0qmNmyEh9z5jmdt7PHm9PsiL9IkC"/>
        <s v="https://drive.google.com/open?id=1B18P7XcIQlDaE6n3xOhEEiBJx6CLoOEn"/>
        <s v="https://drive.google.com/open?id=1o5xqLrVn6QF8OY6Fs1GcVcqF_rrg_rR5"/>
        <s v="https://drive.google.com/open?id=1fq_HnJoUq3IIAjJYMh7Ft3tpio2HwPzA"/>
        <s v="https://drive.google.com/open?id=1wEjp_Jl3DmoPLTDD4-nhMStRVnK5AdQN"/>
        <s v="https://drive.google.com/open?id=1ZU0Omcdgi5xobcYjEbuADz5rM0tMWg3F"/>
        <s v="https://drive.google.com/open?id=17QMThiCns8GfROCFV4hZ16nAoG-fRhHB"/>
        <s v="https://drive.google.com/open?id=18-KIvBxABdAURFwpkGbLJTygpTvzKXWa"/>
        <s v="https://drive.google.com/open?id=1xNkKAGWXri9ASKz2Q2TrLGbjJ7Rviad8"/>
        <s v="https://drive.google.com/open?id=1kpJ8AfE4MS38DVos6w_9oFZXyE-C79sO"/>
        <s v="https://drive.google.com/open?id=1FCi3c05tWQY3uX6xcvzlzP9yLnbIgAI1"/>
        <s v="https://drive.google.com/open?id=153EGvK3qBEUdTriNJZhd2uAaXPyYJAkA"/>
        <s v="https://drive.google.com/open?id=1RahUTGDqHmeS9_ybxiTS1qXPZgW8Si1a"/>
        <s v="https://drive.google.com/open?id=1cfa3u2ntHaT0oPp3f-d4LW9PCq4sl6x3"/>
        <s v="https://drive.google.com/open?id=17pGyp4sMt63MkpVXCaaqE7E7v3MCcUoY"/>
        <s v="https://drive.google.com/open?id=1IhTZkPwvn3G1mRkoBqWmwpYYLoPi7WPF"/>
        <s v="https://drive.google.com/open?id=1HQqWJxzB3UzzbqJtoI1OS8pAex2V00af"/>
        <s v="https://drive.google.com/open?id=1X7Xd-OqKf1e4FrhkPnBsZFU1OCZUcrz3"/>
        <s v="https://drive.google.com/open?id=1ISS1U2hNGKITj7N4nfJaun8YKxdhOAVw"/>
        <s v="https://drive.google.com/open?id=1WPLKaxCpn09Hj9S_dyQcAe_9YwLe8cHG"/>
        <s v="https://drive.google.com/open?id=1FkqGOhfRueEfiwznY1zpgFHtv9xjgTTS"/>
        <s v="https://drive.google.com/open?id=1Qj7mBx_7sLddz0tzXc8XfFek8r-rAlE_"/>
        <s v="https://drive.google.com/open?id=17WisTjbYEDOI3u2mLLZJixeRX2HlOchQ"/>
        <s v="https://drive.google.com/open?id=1XwDNilZZfGDERLHLFuUP98pcoZpxOTIt"/>
        <s v="https://drive.google.com/open?id=10ZdaQ2_jAhO3GJOeBauHRNUgru63lhA4"/>
        <s v="https://drive.google.com/open?id=1v_GuZEuqxTeE6fqp9Qlhyz0pyZH8IVSj"/>
        <s v="https://drive.google.com/open?id=1PcB0q6TRYo8ngPp7s-pK-YRKuBQTMfut"/>
        <s v="https://drive.google.com/open?id=1Bul2fFMLzvmWu2pEETKGWmsPxUVf6N5d"/>
        <s v="https://drive.google.com/open?id=1575DHsaN16OL693CxCkQIoypT05fwWZM"/>
        <s v="https://drive.google.com/open?id=1NLiW1vd8b4Vygdn41uPrS2Rcdi3ZMXDR"/>
        <s v="https://drive.google.com/open?id=192npIIOw9AsROQaWLDI8S4slLAIoeuHA"/>
        <s v="https://drive.google.com/open?id=13HXEIob649DsH5URoLO-zTZPo-QQAHZn"/>
        <s v="https://drive.google.com/open?id=16wpkouiXUuLGi_zgs_7Oe4XVJ61yldDX"/>
        <s v="https://drive.google.com/open?id=162LkSv0bKj-i0ujDdONSKa7EN9CUE8qX"/>
        <s v="https://drive.google.com/open?id=1UhNdQFxlRj57NRRRnDFuKXaWpbh-EfuO"/>
        <s v="https://drive.google.com/open?id=1ZIUiEPJPY-glFd2NTPmT1RXXCuLaKG9J"/>
        <s v="https://drive.google.com/open?id=1B2d-PvKa6nHSxwe-0wjYlWWMtcfmzkix"/>
        <s v="https://drive.google.com/open?id=1t4PtsyGZlGbCNtCmayPCel0fwbf3PLfi"/>
        <s v="https://drive.google.com/open?id=16jSdjVd3km__dkomWhop5K8paclQ7vDb"/>
        <s v="https://drive.google.com/open?id=1ubg_BFLg7oAwsIlK1ofu9oAKzKiN7LSf"/>
        <s v="https://drive.google.com/open?id=1HHW-vg7flvkd1ia59MmGSRk6m1vrO01M"/>
        <s v="https://drive.google.com/open?id=13_Hf_fLhRAnpNAQBmfXig08YQc2ApbUm"/>
        <s v="https://drive.google.com/open?id=18e_YjQbQKXUaAHDa1AqsvdHG-yIW-7Cq"/>
        <s v="https://drive.google.com/open?id=1Lj-EWH0fXAByHmVmyjq3o1HQbbDrmCE_"/>
        <s v="https://drive.google.com/open?id=1U0feTIdCzffguu6LB8ggTi0Dy4wf1eBw"/>
        <s v="https://drive.google.com/open?id=1gIGRfYM_n0p3KxIi7oGnlbCMfAPv2OpG"/>
        <s v="https://drive.google.com/open?id=12ASfC3f0HEuWISsfD6xXhY-PYlrmYf3W"/>
        <s v="https://drive.google.com/open?id=1W6G1txLgnzWFSxUTRGEdMYtVbUSElp2m"/>
        <s v="https://drive.google.com/open?id=1XMd_Sstt1oJ3ilZWPpfGlYOM68CTRGPY"/>
        <s v="https://drive.google.com/open?id=1psTVEnMnNAs1rNYk_JCDmCa_kn_p4A5J"/>
        <s v="https://drive.google.com/open?id=1khWNkoQ6ASs4uvswvS4aqU83-AeM100O"/>
        <s v="https://drive.google.com/open?id=1oG7Mj51_r4H47Ry1n8EdiayEXhmyATht"/>
        <s v="https://drive.google.com/open?id=16eQOCIRvByYVtYh-BqJJYyhhpmjKhZX6"/>
        <s v="https://drive.google.com/open?id=1t1bXms0kRC9mmFHJwGFLUTfLXL-pUEQj"/>
        <s v="https://drive.google.com/open?id=15f0mx-9G4DgbhdUFuqkzJhqiMRwXqlE6"/>
        <s v="https://drive.google.com/open?id=1FpiAh5_Bw81ZW3QKzoMo6Awb1kue-ayd"/>
        <s v="https://drive.google.com/open?id=1fyJYCBq53kfAx3_I4CcqjUApqE76Ycdk"/>
        <s v="https://drive.google.com/open?id=1IVljsfKblCKaiC4rkDzv2OoIZqm__oaR"/>
        <s v="https://drive.google.com/open?id=1lJMLlIgGD-kR-GR1Dy3uhXtKXpmSQdWW"/>
        <s v="https://drive.google.com/open?id=1Q7X8sI-zbO6o_awKTHfjUPrr-Vec-0Rz"/>
        <s v="https://drive.google.com/open?id=1tKNRbOZj0ysh2ksoBEunR4S13TPU0vBw"/>
        <s v="https://drive.google.com/open?id=1vztJ2bC_vMi9OvuUyJWwMomjceKINLjG"/>
        <s v="https://drive.google.com/open?id=1727FqsjKbDdMVvjn9uERQbR1rcL9t_Rj"/>
        <s v="https://drive.google.com/open?id=1D0YpBYcBxMnsri2dvZ4eUzGm3T9rNmzH"/>
        <s v="https://drive.google.com/open?id=1MslTCoiUJy7aqGvqisH-UIZ25PYqWJpn"/>
        <s v="https://drive.google.com/open?id=1TowpVjZgjU56fbWjEpML9Otxn-ihYhTS"/>
        <s v="https://drive.google.com/open?id=1DgBx2kbD1_GpecEqjFuEbu7OgJkuwvM1"/>
        <s v="https://drive.google.com/open?id=1PzhRvnRVxH8T4m4GG_BCZCfgENUfjgtO"/>
        <s v="https://drive.google.com/open?id=1IBrFew3WIUkiA6YQ_kWgTxV_NyQw7pTE"/>
        <s v="https://drive.google.com/open?id=1X4wrfjoxmVdZZbSaK9OCE4Vkx-m9xdCl"/>
        <s v="https://drive.google.com/open?id=1-yrxCLetNWOrDekFTWvizUji_agILjTK"/>
        <s v="https://drive.google.com/open?id=1LIKCJDQgTlSG_7cnfloaiAzKUrLjltQh"/>
        <s v="https://drive.google.com/open?id=1uNMrzh3axNUpF53adRdY7ucTSp0JxWzN"/>
        <s v="https://drive.google.com/open?id=18eOiRstF92JjkWhRwMkUL7QB088kZThR"/>
        <s v="https://drive.google.com/open?id=1AJ-1skMDVXpZHbDl37LEplzjcIcKh4bi"/>
        <s v="https://drive.google.com/open?id=1htT2gyOsDpeE9ASjvxvLP4d8vn2FZS1c"/>
        <s v="https://drive.google.com/open?id=1-D8AaFiWSTqJkFPoy3QdFbDKb8q3mdzT"/>
        <s v="https://drive.google.com/open?id=11GsgeZuFKTXlWfDhZNCSKsrRZ9G1ExPU"/>
        <s v="https://drive.google.com/open?id=1xt4JgidFn3Fbh-uUL7ofWuyX6XcC3MSe"/>
        <s v="https://drive.google.com/open?id=1hTCWcfnNhFDP3wO4XL0gdCT8WfDoYvl3"/>
        <s v="https://drive.google.com/open?id=1MRoQlPDp1BEYNB9drJjARDZzhq3T1y_Y"/>
        <s v="https://drive.google.com/open?id=1J1-o8aFq6e-JNX8SBZMQnKar0ogcuI4q"/>
        <s v="https://drive.google.com/open?id=1j9WRBSJ1v_pUMWGaHapgkt8CF4I7hE4f"/>
        <s v="https://drive.google.com/open?id=1U_rb4zmNVflxCNtFMapMFYvDkLozMeAk"/>
        <s v="https://drive.google.com/open?id=1v-Uh55MSrvzQRi8bX5xWXw9FZ9P66V8v"/>
        <s v="https://drive.google.com/open?id=1oFyAnfl-OEnfPGbxcEFAN_2OtlMFykX8"/>
        <s v="https://drive.google.com/open?id=1SKgKjM4ASbEZj5dBEg5A8tT5e_7WXYUL"/>
        <s v="https://drive.google.com/open?id=1ekhlhNAan9c-SsGE7vaxzf1BqkisjKaU"/>
        <s v="https://drive.google.com/open?id=1Nwmm7lkc0vlcC9pMIZ1lQ02DIOflk8fg"/>
        <s v="https://drive.google.com/open?id=1QmPHotOYd8Fuy0Av-48h4NZKN1GY_bpM"/>
        <s v="https://drive.google.com/open?id=1rYL0yi7V222NVFpE2rUbGwBZ6V0FgTg2"/>
        <s v="https://drive.google.com/open?id=1xMEzhlEBnc6L6aZS-1B_FOHNkNdSBGXR"/>
        <s v="https://drive.google.com/open?id=1WJzCECknvEOnaz1_CFFAPP3_dtcsTRSe"/>
        <s v="https://drive.google.com/open?id=1bQac6qo_cxAjLoJiBXitgy5YmkKKwetz"/>
        <s v="https://drive.google.com/open?id=1NwKdKNEmJEXa_NGE9OeZ5ZEy2KHN3wav"/>
        <s v="https://drive.google.com/open?id=1_hTAKFkORxG6VRZ_2mX_uKaRxgqAo_hZ"/>
        <s v="https://drive.google.com/open?id=1HIzosk-nKsBMB6jn5BAk4fZGErfluSHr"/>
        <s v="https://drive.google.com/open?id=10COIi7zjD2Cse6Gv6OVMLoQSlMjjpwAD"/>
        <s v="https://drive.google.com/open?id=1qn180RXW_07ZmxDr8Y-fF41PrklpAr6b"/>
        <s v="https://drive.google.com/open?id=1UEuTbJk_YV5L4JanhA1L6_oMg-8ZM4zl"/>
        <s v="https://drive.google.com/open?id=1H-FZZoqL8las9-URV7U-jw_DuzDngSh4"/>
        <s v="https://drive.google.com/open?id=1ynGSzIRe_txpLzW-B6dwUOy5c54xPova"/>
        <s v="https://drive.google.com/open?id=1mpHuaJ6cyq1oVd0-8oe8XpQ_pQIeqT0L"/>
        <s v="https://drive.google.com/open?id=12T_qhUKFMEK3mXwILAkmwLTSGu73FlIZ"/>
        <s v="https://drive.google.com/open?id=1t6wXgeKStYe9V3uVG0YCOnn7YGBpFGOE"/>
        <s v="https://drive.google.com/open?id=1cucX_V1BKwaQ5RJTDsFjf7TL3I1ODaUW"/>
        <s v="https://drive.google.com/open?id=17pxv6IPti-lmgyQFClfuOw_PpNvuaDq_"/>
        <s v="https://drive.google.com/open?id=1gmeU10_G3zAICmN8xf1OJwl9XprENK9T"/>
        <s v="https://drive.google.com/open?id=1Ny1iByWBPR_Y_zTuRea7u2MSGvv2q-x5"/>
        <s v="https://drive.google.com/open?id=1sIj7nHB1x9jJ5TqU_hMU_YT7g79ShH11"/>
        <s v="https://drive.google.com/open?id=1GfUozfCXftE9FJk1ImQ8W7HeN7f9yYO6"/>
        <s v="https://drive.google.com/open?id=1mPEH7r7q6_EC5vnXCVPWtfYNlS1j5y6g"/>
        <s v="https://drive.google.com/open?id=1Z9dloCWpQbW2ycn4VLAJBANSE6xJMBCU"/>
        <s v="https://drive.google.com/open?id=18klmTJBlm9wfgILpSpu2jycTTCF_lX_V"/>
        <s v="https://drive.google.com/open?id=1_15YhVuQu_8IPoOVNXR5cLU9MqSuHmz2"/>
        <s v="https://drive.google.com/open?id=1fxl-SnwV5k095TLD3Ru1Gv62hFwi2cqb"/>
        <s v="https://drive.google.com/open?id=1hVCXy9oNkcmO2mDKeAqew-JPzzH7W3py"/>
        <s v="https://drive.google.com/open?id=1-PKrC1fYa79cbPjGHA5tK7XeSbaVVTl1"/>
        <s v="https://drive.google.com/open?id=1JgfCgV8porzjoKzNV7ibGAXNtq4zAxVA"/>
        <s v="https://drive.google.com/open?id=1904umlOplnHWKpFBTDFmWFH8lHeu541W"/>
        <s v="https://drive.google.com/open?id=1b5wsrc9Zc2rluhWsmMdVsxlouvN_DdqZ"/>
        <s v="https://drive.google.com/open?id=1NXA4UMPbH4j1x8tn_vQVQQUfbPe1hAm3"/>
        <s v="https://drive.google.com/open?id=1pVML0ljw_o_JiRHqTp9InR4w_kjugwH7"/>
        <s v="https://drive.google.com/open?id=1SLEvIOlqhcrRWsEMDNnPRvigzQYtO9NQ"/>
        <s v="https://drive.google.com/open?id=1LtxlPbr5xhWRRYDML9r4aL4WEW4IUYB6"/>
        <s v="https://drive.google.com/open?id=1S8iTlz3IvrMTMG_cNmD-66e2qv1ujn80"/>
        <s v="https://drive.google.com/open?id=1HsE8o4lhKgo0stMXZbqrsY6mg8CmGigo"/>
        <s v="https://drive.google.com/open?id=15fRCAY__305HT6PGQrmyjH7WjF-iKFtk"/>
        <s v="https://drive.google.com/open?id=1PY_HxldfbKT_wOIKxKBu_hGuPbRrrSOf"/>
        <s v="https://drive.google.com/open?id=13MzO3qt6zPPXd8_DM-RumT8sndza5Rhm"/>
        <s v="https://drive.google.com/open?id=1qasI3ibGehKR79Hw0ww7T4fsA83jyQbP"/>
        <s v="https://drive.google.com/open?id=1nY8uA2NoNAigzKYarmG6R01a7HPKFruj"/>
        <s v="https://drive.google.com/open?id=1s3A7wD9-YPWiJ2cV7R0LVOaiyONg_myT"/>
        <m/>
      </sharedItems>
    </cacheField>
    <cacheField name="Column 10" numFmtId="0">
      <sharedItems containsBlank="1">
        <m/>
        <s v=""/>
      </sharedItems>
    </cacheField>
    <cacheField name="Is your PAMET ID still valid? (PAMET ID validity should be until December 2026 or onwards, if not then please do make sure that your PAMET ID is renewed accordingly)" numFmtId="0">
      <sharedItems containsBlank="1">
        <s v="Ye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 Report" cacheId="0" dataCaption="" compact="0" compactData="0">
  <location ref="B5:C46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GIVE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name="MIDD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FAMIL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PAMET ID Number (Follow the format &quot;e.g. 25123-88-Ab&quot;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PAMET ID Validit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AMET Chapter" axis="axisRow" compact="0" outline="0" multipleItemSelectionAllowed="1" showAll="0" sortType="ascending">
      <items>
        <item x="39"/>
        <item x="23"/>
        <item x="7"/>
        <item x="19"/>
        <item x="21"/>
        <item x="6"/>
        <item x="17"/>
        <item x="0"/>
        <item x="3"/>
        <item x="13"/>
        <item x="37"/>
        <item x="32"/>
        <item x="16"/>
        <item x="26"/>
        <item x="29"/>
        <item x="1"/>
        <item x="4"/>
        <item x="30"/>
        <item x="2"/>
        <item x="18"/>
        <item x="24"/>
        <item x="25"/>
        <item x="35"/>
        <item x="36"/>
        <item x="9"/>
        <item x="8"/>
        <item x="10"/>
        <item x="11"/>
        <item x="14"/>
        <item x="22"/>
        <item x="15"/>
        <item x="33"/>
        <item x="5"/>
        <item x="38"/>
        <item x="12"/>
        <item x="31"/>
        <item x="27"/>
        <item x="20"/>
        <item x="34"/>
        <item x="28"/>
        <item t="default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Proof of Payment (Deposit Slip, On-line transaction Receip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Column 10" compact="0" outline="0" multipleItemSelectionAllowed="1" showAll="0">
      <items>
        <item x="0"/>
        <item x="1"/>
        <item t="default"/>
      </items>
    </pivotField>
    <pivotField name="Is your PAMET ID still valid? (PAMET ID validity should be until December 2026 or onwards, if not then please do make sure that your PAMET ID is renewed accordingly)" compact="0" outline="0" multipleItemSelectionAllowed="1" showAll="0">
      <items>
        <item x="0"/>
        <item x="1"/>
        <item t="default"/>
      </items>
    </pivotField>
  </pivotFields>
  <rowFields>
    <field x="6"/>
  </rowFields>
  <dataFields>
    <dataField name="COUNTA of Proof of Payment (Deposit Slip, On-line transaction Receipt)" fld="8" subtotal="count" baseField="0"/>
  </dataFields>
</pivotTableDefinition>
</file>

<file path=xl/tables/table1.xml><?xml version="1.0" encoding="utf-8"?>
<table xmlns="http://schemas.openxmlformats.org/spreadsheetml/2006/main" headerRowCount="0" ref="A1:Q1" displayName="Form_Responses" name="Form_Responses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SFOiFkPvm7VkHd5KC8r5KBelcM3_MX3Q" TargetMode="External"/><Relationship Id="rId190" Type="http://schemas.openxmlformats.org/officeDocument/2006/relationships/hyperlink" Target="https://drive.google.com/open?id=1v-Uh55MSrvzQRi8bX5xWXw9FZ9P66V8v" TargetMode="External"/><Relationship Id="rId42" Type="http://schemas.openxmlformats.org/officeDocument/2006/relationships/hyperlink" Target="https://drive.google.com/open?id=1d_F6CLBbCH_3sgmrQtalpQV8DBT0uWUM" TargetMode="External"/><Relationship Id="rId41" Type="http://schemas.openxmlformats.org/officeDocument/2006/relationships/hyperlink" Target="https://drive.google.com/open?id=1dQgi7Try_J6lbe9cnR6PqGNrp5edvw8i" TargetMode="External"/><Relationship Id="rId44" Type="http://schemas.openxmlformats.org/officeDocument/2006/relationships/hyperlink" Target="https://drive.google.com/open?id=19wvcEo6L_rLBM1qNxwUv-FC-7-Tw8yNZ" TargetMode="External"/><Relationship Id="rId194" Type="http://schemas.openxmlformats.org/officeDocument/2006/relationships/hyperlink" Target="https://drive.google.com/open?id=1Nwmm7lkc0vlcC9pMIZ1lQ02DIOflk8fg" TargetMode="External"/><Relationship Id="rId43" Type="http://schemas.openxmlformats.org/officeDocument/2006/relationships/hyperlink" Target="https://drive.google.com/open?id=15qt01u0QwK0g7yLICtMkU2Kfeo2GsiXD" TargetMode="External"/><Relationship Id="rId193" Type="http://schemas.openxmlformats.org/officeDocument/2006/relationships/hyperlink" Target="https://drive.google.com/open?id=1ekhlhNAan9c-SsGE7vaxzf1BqkisjKaU" TargetMode="External"/><Relationship Id="rId46" Type="http://schemas.openxmlformats.org/officeDocument/2006/relationships/hyperlink" Target="https://drive.google.com/open?id=1NEV8TRR2ng2tLim5lcW-NIshR_uTi_4B" TargetMode="External"/><Relationship Id="rId192" Type="http://schemas.openxmlformats.org/officeDocument/2006/relationships/hyperlink" Target="https://drive.google.com/open?id=1SKgKjM4ASbEZj5dBEg5A8tT5e_7WXYUL" TargetMode="External"/><Relationship Id="rId45" Type="http://schemas.openxmlformats.org/officeDocument/2006/relationships/hyperlink" Target="https://drive.google.com/open?id=1SjKIWOAvwzgiq9qOGxf94j1nazUuo3go" TargetMode="External"/><Relationship Id="rId191" Type="http://schemas.openxmlformats.org/officeDocument/2006/relationships/hyperlink" Target="https://drive.google.com/open?id=1oFyAnfl-OEnfPGbxcEFAN_2OtlMFykX8" TargetMode="External"/><Relationship Id="rId48" Type="http://schemas.openxmlformats.org/officeDocument/2006/relationships/hyperlink" Target="https://drive.google.com/open?id=1wtaaVgnS54rdLVChC7XKaLsTGFaJNpi2" TargetMode="External"/><Relationship Id="rId187" Type="http://schemas.openxmlformats.org/officeDocument/2006/relationships/hyperlink" Target="https://drive.google.com/open?id=1oAitdvG6NlyVWitTiivLy85NbzYytLzU" TargetMode="External"/><Relationship Id="rId47" Type="http://schemas.openxmlformats.org/officeDocument/2006/relationships/hyperlink" Target="https://drive.google.com/open?id=1IxBH_Ukt-eAs5knz4N4CZ5cYIcnYVS1z" TargetMode="External"/><Relationship Id="rId186" Type="http://schemas.openxmlformats.org/officeDocument/2006/relationships/hyperlink" Target="https://drive.google.com/open?id=1J1-o8aFq6e-JNX8SBZMQnKar0ogcuI4q" TargetMode="External"/><Relationship Id="rId185" Type="http://schemas.openxmlformats.org/officeDocument/2006/relationships/hyperlink" Target="https://drive.google.com/open?id=1MRoQlPDp1BEYNB9drJjARDZzhq3T1y_Y" TargetMode="External"/><Relationship Id="rId49" Type="http://schemas.openxmlformats.org/officeDocument/2006/relationships/hyperlink" Target="https://drive.google.com/open?id=1zxLNxwcWeEwXoJ200VEuB9-_nKwr8eid" TargetMode="External"/><Relationship Id="rId184" Type="http://schemas.openxmlformats.org/officeDocument/2006/relationships/hyperlink" Target="https://drive.google.com/open?id=1hTCWcfnNhFDP3wO4XL0gdCT8WfDoYvl3" TargetMode="External"/><Relationship Id="rId189" Type="http://schemas.openxmlformats.org/officeDocument/2006/relationships/hyperlink" Target="https://drive.google.com/open?id=1U_rb4zmNVflxCNtFMapMFYvDkLozMeAk" TargetMode="External"/><Relationship Id="rId188" Type="http://schemas.openxmlformats.org/officeDocument/2006/relationships/hyperlink" Target="https://drive.google.com/open?id=1j9WRBSJ1v_pUMWGaHapgkt8CF4I7hE4f" TargetMode="External"/><Relationship Id="rId31" Type="http://schemas.openxmlformats.org/officeDocument/2006/relationships/hyperlink" Target="https://drive.google.com/open?id=1PPk417-VtAXrrFLCpa89Oz4utg4K13h1" TargetMode="External"/><Relationship Id="rId30" Type="http://schemas.openxmlformats.org/officeDocument/2006/relationships/hyperlink" Target="https://drive.google.com/open?id=1fS5u2Kg6m9koYr-6JQExdZpRy6qJByM9" TargetMode="External"/><Relationship Id="rId33" Type="http://schemas.openxmlformats.org/officeDocument/2006/relationships/hyperlink" Target="https://drive.google.com/open?id=106mGuNtLk-roMtQmD43MNM0VXSMRCNgo" TargetMode="External"/><Relationship Id="rId183" Type="http://schemas.openxmlformats.org/officeDocument/2006/relationships/hyperlink" Target="https://drive.google.com/open?id=1xt4JgidFn3Fbh-uUL7ofWuyX6XcC3MSe" TargetMode="External"/><Relationship Id="rId32" Type="http://schemas.openxmlformats.org/officeDocument/2006/relationships/hyperlink" Target="https://drive.google.com/open?id=1__-PV0oM05lP41rzasjB4xAraJVpEDRU" TargetMode="External"/><Relationship Id="rId182" Type="http://schemas.openxmlformats.org/officeDocument/2006/relationships/hyperlink" Target="https://drive.google.com/open?id=11GsgeZuFKTXlWfDhZNCSKsrRZ9G1ExPU" TargetMode="External"/><Relationship Id="rId35" Type="http://schemas.openxmlformats.org/officeDocument/2006/relationships/hyperlink" Target="https://drive.google.com/open?id=1N_UwH_4WAthpdVi3YEgRVxG1CXA49oKE" TargetMode="External"/><Relationship Id="rId181" Type="http://schemas.openxmlformats.org/officeDocument/2006/relationships/hyperlink" Target="https://drive.google.com/open?id=18x8t6zanMGYrTxvo5vfIfuiuVSafbcag" TargetMode="External"/><Relationship Id="rId34" Type="http://schemas.openxmlformats.org/officeDocument/2006/relationships/hyperlink" Target="https://drive.google.com/open?id=1IAiDGvxCu1ThpxX7e1TasvBuF7ezjbrA" TargetMode="External"/><Relationship Id="rId180" Type="http://schemas.openxmlformats.org/officeDocument/2006/relationships/hyperlink" Target="https://drive.google.com/open?id=1-D8AaFiWSTqJkFPoy3QdFbDKb8q3mdzT" TargetMode="External"/><Relationship Id="rId37" Type="http://schemas.openxmlformats.org/officeDocument/2006/relationships/hyperlink" Target="https://drive.google.com/open?id=1B37S7mWfWuNwG1d4yEBjEIWOJB7CcCIX" TargetMode="External"/><Relationship Id="rId176" Type="http://schemas.openxmlformats.org/officeDocument/2006/relationships/hyperlink" Target="https://drive.google.com/open?id=1uNMrzh3axNUpF53adRdY7ucTSp0JxWzN" TargetMode="External"/><Relationship Id="rId36" Type="http://schemas.openxmlformats.org/officeDocument/2006/relationships/hyperlink" Target="https://drive.google.com/open?id=1V0o8r_jXutXCTvXptHS_ZUxF2WB1GSjk" TargetMode="External"/><Relationship Id="rId175" Type="http://schemas.openxmlformats.org/officeDocument/2006/relationships/hyperlink" Target="https://drive.google.com/open?id=1LIKCJDQgTlSG_7cnfloaiAzKUrLjltQh" TargetMode="External"/><Relationship Id="rId39" Type="http://schemas.openxmlformats.org/officeDocument/2006/relationships/hyperlink" Target="https://drive.google.com/open?id=10FkeO6O5rjA1WBSIxqNpbZC4WwauSe4g" TargetMode="External"/><Relationship Id="rId174" Type="http://schemas.openxmlformats.org/officeDocument/2006/relationships/hyperlink" Target="https://drive.google.com/open?id=1-yrxCLetNWOrDekFTWvizUji_agILjTK" TargetMode="External"/><Relationship Id="rId38" Type="http://schemas.openxmlformats.org/officeDocument/2006/relationships/hyperlink" Target="https://drive.google.com/open?id=1pxeYQ3kBxVfTZm7BqZe8vtN3BjxKjONO" TargetMode="External"/><Relationship Id="rId173" Type="http://schemas.openxmlformats.org/officeDocument/2006/relationships/hyperlink" Target="https://drive.google.com/open?id=1X4wrfjoxmVdZZbSaK9OCE4Vkx-m9xdCl" TargetMode="External"/><Relationship Id="rId179" Type="http://schemas.openxmlformats.org/officeDocument/2006/relationships/hyperlink" Target="https://drive.google.com/open?id=1htT2gyOsDpeE9ASjvxvLP4d8vn2FZS1c" TargetMode="External"/><Relationship Id="rId178" Type="http://schemas.openxmlformats.org/officeDocument/2006/relationships/hyperlink" Target="https://drive.google.com/open?id=1AJ-1skMDVXpZHbDl37LEplzjcIcKh4bi" TargetMode="External"/><Relationship Id="rId177" Type="http://schemas.openxmlformats.org/officeDocument/2006/relationships/hyperlink" Target="https://drive.google.com/open?id=18eOiRstF92JjkWhRwMkUL7QB088kZThR" TargetMode="External"/><Relationship Id="rId20" Type="http://schemas.openxmlformats.org/officeDocument/2006/relationships/hyperlink" Target="https://drive.google.com/open?id=1HhwqSL8qKXua0cphp910JeK5y26JHGxc" TargetMode="External"/><Relationship Id="rId22" Type="http://schemas.openxmlformats.org/officeDocument/2006/relationships/hyperlink" Target="https://drive.google.com/open?id=1KTO7eR1hGggPBk0fbQTpwHHuph5Oe6AZ" TargetMode="External"/><Relationship Id="rId21" Type="http://schemas.openxmlformats.org/officeDocument/2006/relationships/hyperlink" Target="https://drive.google.com/open?id=1W9_PZjsYAeWkPV25t8-i01Q1-Hkx8T07" TargetMode="External"/><Relationship Id="rId24" Type="http://schemas.openxmlformats.org/officeDocument/2006/relationships/hyperlink" Target="https://drive.google.com/open?id=1roSKxNCLmsRqW8p9aJyr4ZbJ75k_mLuP" TargetMode="External"/><Relationship Id="rId23" Type="http://schemas.openxmlformats.org/officeDocument/2006/relationships/hyperlink" Target="https://drive.google.com/open?id=1vr9vp6oYYOD_dkdBnJ876rCO362QAJ8L" TargetMode="External"/><Relationship Id="rId26" Type="http://schemas.openxmlformats.org/officeDocument/2006/relationships/hyperlink" Target="https://drive.google.com/open?id=17mAbt8xZYaO1TzguLsuhXv0K26vc8lDi" TargetMode="External"/><Relationship Id="rId25" Type="http://schemas.openxmlformats.org/officeDocument/2006/relationships/hyperlink" Target="https://drive.google.com/open?id=18orYwsoX39IW2rZtGGbYIwm5veHk0fMB" TargetMode="External"/><Relationship Id="rId28" Type="http://schemas.openxmlformats.org/officeDocument/2006/relationships/hyperlink" Target="https://drive.google.com/open?id=1ReJKVb7RPRbOl_l7hfwsYfb6e2XFj_GV" TargetMode="External"/><Relationship Id="rId27" Type="http://schemas.openxmlformats.org/officeDocument/2006/relationships/hyperlink" Target="https://drive.google.com/open?id=14WUQDHHIZW53E1SJZdrkaU_VzebuWcoC" TargetMode="External"/><Relationship Id="rId29" Type="http://schemas.openxmlformats.org/officeDocument/2006/relationships/hyperlink" Target="https://drive.google.com/open?id=1h2kbM7nn3WMC_6cnb35JtomPIK2CUPf0" TargetMode="External"/><Relationship Id="rId11" Type="http://schemas.openxmlformats.org/officeDocument/2006/relationships/hyperlink" Target="https://drive.google.com/open?id=1RriSODDH1BqyHvnA0cDi83JF3K64qpql" TargetMode="External"/><Relationship Id="rId10" Type="http://schemas.openxmlformats.org/officeDocument/2006/relationships/hyperlink" Target="https://drive.google.com/open?id=1l81Fj_ErZrHJAdNHakt1MlyJdQ10DkOz" TargetMode="External"/><Relationship Id="rId13" Type="http://schemas.openxmlformats.org/officeDocument/2006/relationships/hyperlink" Target="https://drive.google.com/open?id=1HVSjqhHa8LO027R3HuXCcu9MjZL1E7hj" TargetMode="External"/><Relationship Id="rId12" Type="http://schemas.openxmlformats.org/officeDocument/2006/relationships/hyperlink" Target="https://drive.google.com/open?id=1JckUQyD6ciBwB4qDhWccp5068xFGugxm" TargetMode="External"/><Relationship Id="rId15" Type="http://schemas.openxmlformats.org/officeDocument/2006/relationships/hyperlink" Target="https://drive.google.com/open?id=1xmkhd-BUDelroorDXfVX9aYntfJnfMID" TargetMode="External"/><Relationship Id="rId198" Type="http://schemas.openxmlformats.org/officeDocument/2006/relationships/hyperlink" Target="https://drive.google.com/open?id=1WJzCECknvEOnaz1_CFFAPP3_dtcsTRSe" TargetMode="External"/><Relationship Id="rId14" Type="http://schemas.openxmlformats.org/officeDocument/2006/relationships/hyperlink" Target="https://drive.google.com/open?id=1qo45mEh2BFwK7FKSGhTICq646XJyUEWG" TargetMode="External"/><Relationship Id="rId197" Type="http://schemas.openxmlformats.org/officeDocument/2006/relationships/hyperlink" Target="https://drive.google.com/open?id=1xMEzhlEBnc6L6aZS-1B_FOHNkNdSBGXR" TargetMode="External"/><Relationship Id="rId17" Type="http://schemas.openxmlformats.org/officeDocument/2006/relationships/hyperlink" Target="https://drive.google.com/open?id=1M9LhOpT_cpINzc2Flm1FV6ANpiRvLjtP" TargetMode="External"/><Relationship Id="rId196" Type="http://schemas.openxmlformats.org/officeDocument/2006/relationships/hyperlink" Target="https://drive.google.com/open?id=1rYL0yi7V222NVFpE2rUbGwBZ6V0FgTg2" TargetMode="External"/><Relationship Id="rId16" Type="http://schemas.openxmlformats.org/officeDocument/2006/relationships/hyperlink" Target="https://drive.google.com/open?id=1VlMy7tXprBWmxIUAu1dJQlN0MtBaqPM0" TargetMode="External"/><Relationship Id="rId195" Type="http://schemas.openxmlformats.org/officeDocument/2006/relationships/hyperlink" Target="https://drive.google.com/open?id=1QmPHotOYd8Fuy0Av-48h4NZKN1GY_bpM" TargetMode="External"/><Relationship Id="rId19" Type="http://schemas.openxmlformats.org/officeDocument/2006/relationships/hyperlink" Target="https://drive.google.com/open?id=1oSMrnEvh_i0LXjaYeRFT62Fy7jgCGv9x" TargetMode="External"/><Relationship Id="rId18" Type="http://schemas.openxmlformats.org/officeDocument/2006/relationships/hyperlink" Target="https://drive.google.com/open?id=1JPpqGSefIV7Oz-xPwdpRXsOs-nIQR7qi" TargetMode="External"/><Relationship Id="rId199" Type="http://schemas.openxmlformats.org/officeDocument/2006/relationships/hyperlink" Target="https://drive.google.com/open?id=1bQac6qo_cxAjLoJiBXitgy5YmkKKwetz" TargetMode="External"/><Relationship Id="rId84" Type="http://schemas.openxmlformats.org/officeDocument/2006/relationships/hyperlink" Target="https://drive.google.com/open?id=1T2vSWi6rqOxz_Eby45pCZ3HOQSRZdAFO" TargetMode="External"/><Relationship Id="rId83" Type="http://schemas.openxmlformats.org/officeDocument/2006/relationships/hyperlink" Target="https://drive.google.com/open?id=12Np-yW1Jk_PDSF2hq7m2veYFfOWHV08N" TargetMode="External"/><Relationship Id="rId86" Type="http://schemas.openxmlformats.org/officeDocument/2006/relationships/hyperlink" Target="https://drive.google.com/open?id=1BLdO_cF6tGc-3uzZk5D_J_na-GB4wfQE" TargetMode="External"/><Relationship Id="rId85" Type="http://schemas.openxmlformats.org/officeDocument/2006/relationships/hyperlink" Target="https://drive.google.com/open?id=1PGNX53nrRVqJienNeWSjhinHjW6MNtC2" TargetMode="External"/><Relationship Id="rId88" Type="http://schemas.openxmlformats.org/officeDocument/2006/relationships/hyperlink" Target="https://drive.google.com/open?id=1Ou1oPdD8cxdFdkrup2ZBPD_fg9prNYO7" TargetMode="External"/><Relationship Id="rId150" Type="http://schemas.openxmlformats.org/officeDocument/2006/relationships/hyperlink" Target="https://drive.google.com/open?id=1XMd_Sstt1oJ3ilZWPpfGlYOM68CTRGPY" TargetMode="External"/><Relationship Id="rId87" Type="http://schemas.openxmlformats.org/officeDocument/2006/relationships/hyperlink" Target="https://drive.google.com/open?id=1wRX1959vkr0YKkhSvwyB2Ww1VnpUH4Xa" TargetMode="External"/><Relationship Id="rId89" Type="http://schemas.openxmlformats.org/officeDocument/2006/relationships/hyperlink" Target="https://drive.google.com/open?id=1vxrkE3J2IB0vcCkhVjjonjUCQYJfbojG" TargetMode="External"/><Relationship Id="rId80" Type="http://schemas.openxmlformats.org/officeDocument/2006/relationships/hyperlink" Target="https://drive.google.com/open?id=1UDy_SL-gaAjyqYxY0KVe982-Jk4HWHSZ" TargetMode="External"/><Relationship Id="rId82" Type="http://schemas.openxmlformats.org/officeDocument/2006/relationships/hyperlink" Target="https://drive.google.com/open?id=1M6zNtj9-Gwac3OHZlYtS3NeX-u_QwvrM" TargetMode="External"/><Relationship Id="rId81" Type="http://schemas.openxmlformats.org/officeDocument/2006/relationships/hyperlink" Target="https://drive.google.com/open?id=1ESagnBoBDmDOv5WbEwl0ieuwzYqClZg7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hPUo_uwUG9LsdxSHNO9uHNz4YZQmnG12" TargetMode="External"/><Relationship Id="rId3" Type="http://schemas.openxmlformats.org/officeDocument/2006/relationships/hyperlink" Target="https://drive.google.com/open?id=1FdlzzLWs_N6WefOlYgZEQcTzYv9HyyC8" TargetMode="External"/><Relationship Id="rId149" Type="http://schemas.openxmlformats.org/officeDocument/2006/relationships/hyperlink" Target="https://drive.google.com/open?id=1W6G1txLgnzWFSxUTRGEdMYtVbUSElp2m" TargetMode="External"/><Relationship Id="rId4" Type="http://schemas.openxmlformats.org/officeDocument/2006/relationships/hyperlink" Target="https://drive.google.com/open?id=1q-qhd_B5sVFNRoLNg4gPoaYOKbsWO8jd" TargetMode="External"/><Relationship Id="rId148" Type="http://schemas.openxmlformats.org/officeDocument/2006/relationships/hyperlink" Target="https://drive.google.com/open?id=12ASfC3f0HEuWISsfD6xXhY-PYlrmYf3W" TargetMode="External"/><Relationship Id="rId9" Type="http://schemas.openxmlformats.org/officeDocument/2006/relationships/hyperlink" Target="https://drive.google.com/open?id=1yEPo7BgEz9S-DF1roTVu3LYrfw1vR7zY" TargetMode="External"/><Relationship Id="rId143" Type="http://schemas.openxmlformats.org/officeDocument/2006/relationships/hyperlink" Target="https://drive.google.com/open?id=13_Hf_fLhRAnpNAQBmfXig08YQc2ApbUm" TargetMode="External"/><Relationship Id="rId142" Type="http://schemas.openxmlformats.org/officeDocument/2006/relationships/hyperlink" Target="https://drive.google.com/open?id=1Gik5dy9IETQto3UueTvtZRHW1hAWL51-" TargetMode="External"/><Relationship Id="rId141" Type="http://schemas.openxmlformats.org/officeDocument/2006/relationships/hyperlink" Target="https://drive.google.com/open?id=1HHW-vg7flvkd1ia59MmGSRk6m1vrO01M" TargetMode="External"/><Relationship Id="rId140" Type="http://schemas.openxmlformats.org/officeDocument/2006/relationships/hyperlink" Target="https://drive.google.com/open?id=1ubg_BFLg7oAwsIlK1ofu9oAKzKiN7LSf" TargetMode="External"/><Relationship Id="rId5" Type="http://schemas.openxmlformats.org/officeDocument/2006/relationships/hyperlink" Target="https://drive.google.com/open?id=1YaZgjQFU1sDZzxfQepsIeRc9D232PwSg" TargetMode="External"/><Relationship Id="rId147" Type="http://schemas.openxmlformats.org/officeDocument/2006/relationships/hyperlink" Target="https://drive.google.com/open?id=1gIGRfYM_n0p3KxIi7oGnlbCMfAPv2OpG" TargetMode="External"/><Relationship Id="rId6" Type="http://schemas.openxmlformats.org/officeDocument/2006/relationships/hyperlink" Target="https://drive.google.com/open?id=1O2ReKba10XmNsYf3jjlXHHEfI7w1N_2F" TargetMode="External"/><Relationship Id="rId146" Type="http://schemas.openxmlformats.org/officeDocument/2006/relationships/hyperlink" Target="https://drive.google.com/open?id=1U0feTIdCzffguu6LB8ggTi0Dy4wf1eBw" TargetMode="External"/><Relationship Id="rId7" Type="http://schemas.openxmlformats.org/officeDocument/2006/relationships/hyperlink" Target="https://drive.google.com/open?id=1Amk_U83Zck3BYpAmwRCqvWyUjDtx93PB" TargetMode="External"/><Relationship Id="rId145" Type="http://schemas.openxmlformats.org/officeDocument/2006/relationships/hyperlink" Target="https://drive.google.com/open?id=1Lj-EWH0fXAByHmVmyjq3o1HQbbDrmCE_" TargetMode="External"/><Relationship Id="rId8" Type="http://schemas.openxmlformats.org/officeDocument/2006/relationships/hyperlink" Target="https://drive.google.com/open?id=1AA8i09n6dpg3S45yLq55IRMcXm3BtLo0" TargetMode="External"/><Relationship Id="rId144" Type="http://schemas.openxmlformats.org/officeDocument/2006/relationships/hyperlink" Target="https://drive.google.com/open?id=18e_YjQbQKXUaAHDa1AqsvdHG-yIW-7Cq" TargetMode="External"/><Relationship Id="rId73" Type="http://schemas.openxmlformats.org/officeDocument/2006/relationships/hyperlink" Target="https://drive.google.com/open?id=1ItPN7yfu62v3dN5UPCfPnCXGcaZ4TtMA" TargetMode="External"/><Relationship Id="rId72" Type="http://schemas.openxmlformats.org/officeDocument/2006/relationships/hyperlink" Target="https://drive.google.com/open?id=1hMK2pnL14LCv3eUHDKrklKVor3Bw_xJZ" TargetMode="External"/><Relationship Id="rId75" Type="http://schemas.openxmlformats.org/officeDocument/2006/relationships/hyperlink" Target="https://drive.google.com/open?id=1FZZ7tWQewZizs-T38N7le6d64Ne9DQ5D" TargetMode="External"/><Relationship Id="rId74" Type="http://schemas.openxmlformats.org/officeDocument/2006/relationships/hyperlink" Target="https://drive.google.com/open?id=1mTjxNbHqOkAdyV7h-rSOm09ugRhZ7zUN" TargetMode="External"/><Relationship Id="rId77" Type="http://schemas.openxmlformats.org/officeDocument/2006/relationships/hyperlink" Target="https://drive.google.com/open?id=173ZexuHvugDkbD2qE61YuYpS6ZBNEwa9" TargetMode="External"/><Relationship Id="rId76" Type="http://schemas.openxmlformats.org/officeDocument/2006/relationships/hyperlink" Target="https://drive.google.com/open?id=17EkGod0VFbiVBnqxFwK0IPnHOw7Vksdm" TargetMode="External"/><Relationship Id="rId79" Type="http://schemas.openxmlformats.org/officeDocument/2006/relationships/hyperlink" Target="https://drive.google.com/open?id=1eIkeCjw7xN7F8Ii12r-WdYlOUke6_4UZ" TargetMode="External"/><Relationship Id="rId78" Type="http://schemas.openxmlformats.org/officeDocument/2006/relationships/hyperlink" Target="https://drive.google.com/open?id=1W65n5WN6ZoPIfU6xkOCCWeIF7ZzT4kJ9" TargetMode="External"/><Relationship Id="rId71" Type="http://schemas.openxmlformats.org/officeDocument/2006/relationships/hyperlink" Target="https://drive.google.com/open?id=1zvJqC9DbZ199IHQU3Fq-KSqdPnfyypNX" TargetMode="External"/><Relationship Id="rId70" Type="http://schemas.openxmlformats.org/officeDocument/2006/relationships/hyperlink" Target="https://drive.google.com/open?id=1eEXYmPdpZasbzjmcj1yZyPRkCb7CTfbH" TargetMode="External"/><Relationship Id="rId139" Type="http://schemas.openxmlformats.org/officeDocument/2006/relationships/hyperlink" Target="https://drive.google.com/open?id=16jSdjVd3km__dkomWhop5K8paclQ7vDb" TargetMode="External"/><Relationship Id="rId138" Type="http://schemas.openxmlformats.org/officeDocument/2006/relationships/hyperlink" Target="https://drive.google.com/open?id=1t4PtsyGZlGbCNtCmayPCel0fwbf3PLfi" TargetMode="External"/><Relationship Id="rId137" Type="http://schemas.openxmlformats.org/officeDocument/2006/relationships/hyperlink" Target="https://drive.google.com/open?id=1B2d-PvKa6nHSxwe-0wjYlWWMtcfmzkix" TargetMode="External"/><Relationship Id="rId132" Type="http://schemas.openxmlformats.org/officeDocument/2006/relationships/hyperlink" Target="https://drive.google.com/open?id=16wpkouiXUuLGi_zgs_7Oe4XVJ61yldDX" TargetMode="External"/><Relationship Id="rId131" Type="http://schemas.openxmlformats.org/officeDocument/2006/relationships/hyperlink" Target="https://drive.google.com/open?id=13HXEIob649DsH5URoLO-zTZPo-QQAHZn" TargetMode="External"/><Relationship Id="rId130" Type="http://schemas.openxmlformats.org/officeDocument/2006/relationships/hyperlink" Target="https://drive.google.com/open?id=192npIIOw9AsROQaWLDI8S4slLAIoeuHA" TargetMode="External"/><Relationship Id="rId136" Type="http://schemas.openxmlformats.org/officeDocument/2006/relationships/hyperlink" Target="https://drive.google.com/open?id=1ZIUiEPJPY-glFd2NTPmT1RXXCuLaKG9J" TargetMode="External"/><Relationship Id="rId135" Type="http://schemas.openxmlformats.org/officeDocument/2006/relationships/hyperlink" Target="https://drive.google.com/open?id=1UhNdQFxlRj57NRRRnDFuKXaWpbh-EfuO" TargetMode="External"/><Relationship Id="rId134" Type="http://schemas.openxmlformats.org/officeDocument/2006/relationships/hyperlink" Target="https://drive.google.com/open?id=1owbV9v0bK_oq77iz8veeRYnWnTxnwQ09" TargetMode="External"/><Relationship Id="rId133" Type="http://schemas.openxmlformats.org/officeDocument/2006/relationships/hyperlink" Target="https://drive.google.com/open?id=162LkSv0bKj-i0ujDdONSKa7EN9CUE8qX" TargetMode="External"/><Relationship Id="rId62" Type="http://schemas.openxmlformats.org/officeDocument/2006/relationships/hyperlink" Target="https://drive.google.com/open?id=1ULWhD3nEeG6Z0F5Lkuejr_DgcgCAPlG0" TargetMode="External"/><Relationship Id="rId61" Type="http://schemas.openxmlformats.org/officeDocument/2006/relationships/hyperlink" Target="https://drive.google.com/open?id=1QUVZiEmWSyNkJq1wOzu5_c-Mak4IHHYN" TargetMode="External"/><Relationship Id="rId64" Type="http://schemas.openxmlformats.org/officeDocument/2006/relationships/hyperlink" Target="https://drive.google.com/open?id=1ObtS7P34zf4_38AssRiL8_W3pF4x_g_0" TargetMode="External"/><Relationship Id="rId63" Type="http://schemas.openxmlformats.org/officeDocument/2006/relationships/hyperlink" Target="https://drive.google.com/open?id=1sfJIa11u0JFBwNgXZGYSvs1tLl7Kc7ie" TargetMode="External"/><Relationship Id="rId66" Type="http://schemas.openxmlformats.org/officeDocument/2006/relationships/hyperlink" Target="https://drive.google.com/open?id=1sa_O-l9fN_SyTqSPECrrW3p6xlMj6oae" TargetMode="External"/><Relationship Id="rId172" Type="http://schemas.openxmlformats.org/officeDocument/2006/relationships/hyperlink" Target="https://drive.google.com/open?id=1IBrFew3WIUkiA6YQ_kWgTxV_NyQw7pTE" TargetMode="External"/><Relationship Id="rId65" Type="http://schemas.openxmlformats.org/officeDocument/2006/relationships/hyperlink" Target="https://drive.google.com/open?id=1zhDj2ESic9QCjuAeKbGLTuh1082vaOpz" TargetMode="External"/><Relationship Id="rId171" Type="http://schemas.openxmlformats.org/officeDocument/2006/relationships/hyperlink" Target="https://drive.google.com/open?id=1PzhRvnRVxH8T4m4GG_BCZCfgENUfjgtO" TargetMode="External"/><Relationship Id="rId68" Type="http://schemas.openxmlformats.org/officeDocument/2006/relationships/hyperlink" Target="https://drive.google.com/open?id=1hPNTizVuRbBRyUdO8p-3_OFCU022g78n" TargetMode="External"/><Relationship Id="rId170" Type="http://schemas.openxmlformats.org/officeDocument/2006/relationships/hyperlink" Target="https://drive.google.com/open?id=1DgBx2kbD1_GpecEqjFuEbu7OgJkuwvM1" TargetMode="External"/><Relationship Id="rId67" Type="http://schemas.openxmlformats.org/officeDocument/2006/relationships/hyperlink" Target="https://drive.google.com/open?id=1ShUSy_Rbb88j4dGhnDYfX0xaYniWrvC_" TargetMode="External"/><Relationship Id="rId60" Type="http://schemas.openxmlformats.org/officeDocument/2006/relationships/hyperlink" Target="https://drive.google.com/open?id=1Tq_OHjaqhP5tfhQCR2EjzKzIQY5-fF4C" TargetMode="External"/><Relationship Id="rId165" Type="http://schemas.openxmlformats.org/officeDocument/2006/relationships/hyperlink" Target="https://drive.google.com/open?id=1D0YpBYcBxMnsri2dvZ4eUzGm3T9rNmzH" TargetMode="External"/><Relationship Id="rId69" Type="http://schemas.openxmlformats.org/officeDocument/2006/relationships/hyperlink" Target="https://drive.google.com/open?id=1DOgQVWb-f0YJWV5jIGcopIVos3keKHG3" TargetMode="External"/><Relationship Id="rId164" Type="http://schemas.openxmlformats.org/officeDocument/2006/relationships/hyperlink" Target="https://drive.google.com/open?id=1727FqsjKbDdMVvjn9uERQbR1rcL9t_Rj" TargetMode="External"/><Relationship Id="rId163" Type="http://schemas.openxmlformats.org/officeDocument/2006/relationships/hyperlink" Target="https://drive.google.com/open?id=1vztJ2bC_vMi9OvuUyJWwMomjceKINLjG" TargetMode="External"/><Relationship Id="rId162" Type="http://schemas.openxmlformats.org/officeDocument/2006/relationships/hyperlink" Target="https://drive.google.com/open?id=1tKNRbOZj0ysh2ksoBEunR4S13TPU0vBw" TargetMode="External"/><Relationship Id="rId169" Type="http://schemas.openxmlformats.org/officeDocument/2006/relationships/hyperlink" Target="https://drive.google.com/open?id=11HOtuGPvpLtpZmxujQPZWeOyPYEhyrQz" TargetMode="External"/><Relationship Id="rId168" Type="http://schemas.openxmlformats.org/officeDocument/2006/relationships/hyperlink" Target="https://drive.google.com/open?id=1TowpVjZgjU56fbWjEpML9Otxn-ihYhTS" TargetMode="External"/><Relationship Id="rId167" Type="http://schemas.openxmlformats.org/officeDocument/2006/relationships/hyperlink" Target="https://drive.google.com/open?id=15j6eqR5UriUXw576O-E1VyEA9MvvNvGu" TargetMode="External"/><Relationship Id="rId166" Type="http://schemas.openxmlformats.org/officeDocument/2006/relationships/hyperlink" Target="https://drive.google.com/open?id=1MslTCoiUJy7aqGvqisH-UIZ25PYqWJpn" TargetMode="External"/><Relationship Id="rId51" Type="http://schemas.openxmlformats.org/officeDocument/2006/relationships/hyperlink" Target="https://drive.google.com/open?id=1LYsTC1t29144YdiVQlfTpJSelmRRQinL" TargetMode="External"/><Relationship Id="rId50" Type="http://schemas.openxmlformats.org/officeDocument/2006/relationships/hyperlink" Target="https://drive.google.com/open?id=1bWO1SuGdYzUqh8LFZhuDAi903Lf6X9ve" TargetMode="External"/><Relationship Id="rId53" Type="http://schemas.openxmlformats.org/officeDocument/2006/relationships/hyperlink" Target="https://drive.google.com/open?id=1a9bCjSzimyIiFDaibwkf_UmaMXzz9L-v" TargetMode="External"/><Relationship Id="rId52" Type="http://schemas.openxmlformats.org/officeDocument/2006/relationships/hyperlink" Target="https://drive.google.com/open?id=1VZic8DVDjLkoFE_q711Pj_J4eNubqAvQ" TargetMode="External"/><Relationship Id="rId55" Type="http://schemas.openxmlformats.org/officeDocument/2006/relationships/hyperlink" Target="https://drive.google.com/open?id=10XeMll7kgg0OjtSuDBtIzafW_r8Tce9l" TargetMode="External"/><Relationship Id="rId161" Type="http://schemas.openxmlformats.org/officeDocument/2006/relationships/hyperlink" Target="https://drive.google.com/open?id=1Q7X8sI-zbO6o_awKTHfjUPrr-Vec-0Rz" TargetMode="External"/><Relationship Id="rId54" Type="http://schemas.openxmlformats.org/officeDocument/2006/relationships/hyperlink" Target="https://drive.google.com/open?id=1cxEVbsAvi-d8-VZgmIdgPXsgODXEbRJM" TargetMode="External"/><Relationship Id="rId160" Type="http://schemas.openxmlformats.org/officeDocument/2006/relationships/hyperlink" Target="https://drive.google.com/open?id=1lJMLlIgGD-kR-GR1Dy3uhXtKXpmSQdWW" TargetMode="External"/><Relationship Id="rId57" Type="http://schemas.openxmlformats.org/officeDocument/2006/relationships/hyperlink" Target="https://drive.google.com/open?id=1vWbo9Xr_uZZAP0S5kDuGut-ZvlT-AhVc" TargetMode="External"/><Relationship Id="rId56" Type="http://schemas.openxmlformats.org/officeDocument/2006/relationships/hyperlink" Target="https://drive.google.com/open?id=1cxoK-y1aYtpfD1lzMwUOBEJg8qb22Th4" TargetMode="External"/><Relationship Id="rId159" Type="http://schemas.openxmlformats.org/officeDocument/2006/relationships/hyperlink" Target="https://drive.google.com/open?id=1IVljsfKblCKaiC4rkDzv2OoIZqm__oaR" TargetMode="External"/><Relationship Id="rId59" Type="http://schemas.openxmlformats.org/officeDocument/2006/relationships/hyperlink" Target="https://drive.google.com/open?id=1LjtdNS99W0dZWCxBscRE_9rddlQUCGrx" TargetMode="External"/><Relationship Id="rId154" Type="http://schemas.openxmlformats.org/officeDocument/2006/relationships/hyperlink" Target="https://drive.google.com/open?id=16eQOCIRvByYVtYh-BqJJYyhhpmjKhZX6" TargetMode="External"/><Relationship Id="rId58" Type="http://schemas.openxmlformats.org/officeDocument/2006/relationships/hyperlink" Target="https://drive.google.com/open?id=1tCyVgLb-vjTEMqoEivlgsipmJvYqNt54" TargetMode="External"/><Relationship Id="rId153" Type="http://schemas.openxmlformats.org/officeDocument/2006/relationships/hyperlink" Target="https://drive.google.com/open?id=1oG7Mj51_r4H47Ry1n8EdiayEXhmyATht" TargetMode="External"/><Relationship Id="rId152" Type="http://schemas.openxmlformats.org/officeDocument/2006/relationships/hyperlink" Target="https://drive.google.com/open?id=1khWNkoQ6ASs4uvswvS4aqU83-AeM100O" TargetMode="External"/><Relationship Id="rId151" Type="http://schemas.openxmlformats.org/officeDocument/2006/relationships/hyperlink" Target="https://drive.google.com/open?id=1psTVEnMnNAs1rNYk_JCDmCa_kn_p4A5J" TargetMode="External"/><Relationship Id="rId158" Type="http://schemas.openxmlformats.org/officeDocument/2006/relationships/hyperlink" Target="https://drive.google.com/open?id=1fyJYCBq53kfAx3_I4CcqjUApqE76Ycdk" TargetMode="External"/><Relationship Id="rId157" Type="http://schemas.openxmlformats.org/officeDocument/2006/relationships/hyperlink" Target="https://drive.google.com/open?id=1FpiAh5_Bw81ZW3QKzoMo6Awb1kue-ayd" TargetMode="External"/><Relationship Id="rId156" Type="http://schemas.openxmlformats.org/officeDocument/2006/relationships/hyperlink" Target="https://drive.google.com/open?id=15f0mx-9G4DgbhdUFuqkzJhqiMRwXqlE6" TargetMode="External"/><Relationship Id="rId155" Type="http://schemas.openxmlformats.org/officeDocument/2006/relationships/hyperlink" Target="https://drive.google.com/open?id=1t1bXms0kRC9mmFHJwGFLUTfLXL-pUEQj" TargetMode="External"/><Relationship Id="rId107" Type="http://schemas.openxmlformats.org/officeDocument/2006/relationships/hyperlink" Target="https://drive.google.com/open?id=1kpJ8AfE4MS38DVos6w_9oFZXyE-C79sO" TargetMode="External"/><Relationship Id="rId228" Type="http://schemas.openxmlformats.org/officeDocument/2006/relationships/hyperlink" Target="https://drive.google.com/open?id=1b5wsrc9Zc2rluhWsmMdVsxlouvN_DdqZ" TargetMode="External"/><Relationship Id="rId106" Type="http://schemas.openxmlformats.org/officeDocument/2006/relationships/hyperlink" Target="https://drive.google.com/open?id=1xNkKAGWXri9ASKz2Q2TrLGbjJ7Rviad8" TargetMode="External"/><Relationship Id="rId227" Type="http://schemas.openxmlformats.org/officeDocument/2006/relationships/hyperlink" Target="https://drive.google.com/open?id=1904umlOplnHWKpFBTDFmWFH8lHeu541W" TargetMode="External"/><Relationship Id="rId105" Type="http://schemas.openxmlformats.org/officeDocument/2006/relationships/hyperlink" Target="https://drive.google.com/open?id=18-KIvBxABdAURFwpkGbLJTygpTvzKXWa" TargetMode="External"/><Relationship Id="rId226" Type="http://schemas.openxmlformats.org/officeDocument/2006/relationships/hyperlink" Target="https://drive.google.com/open?id=1JgfCgV8porzjoKzNV7ibGAXNtq4zAxVA" TargetMode="External"/><Relationship Id="rId104" Type="http://schemas.openxmlformats.org/officeDocument/2006/relationships/hyperlink" Target="https://drive.google.com/open?id=17QMThiCns8GfROCFV4hZ16nAoG-fRhHB" TargetMode="External"/><Relationship Id="rId225" Type="http://schemas.openxmlformats.org/officeDocument/2006/relationships/hyperlink" Target="https://drive.google.com/open?id=1-PKrC1fYa79cbPjGHA5tK7XeSbaVVTl1" TargetMode="External"/><Relationship Id="rId109" Type="http://schemas.openxmlformats.org/officeDocument/2006/relationships/hyperlink" Target="https://drive.google.com/open?id=1IvY-ZwRhbIXxgS15kGE-C5wGHcs0bjxI" TargetMode="External"/><Relationship Id="rId108" Type="http://schemas.openxmlformats.org/officeDocument/2006/relationships/hyperlink" Target="https://drive.google.com/open?id=1FCi3c05tWQY3uX6xcvzlzP9yLnbIgAI1" TargetMode="External"/><Relationship Id="rId229" Type="http://schemas.openxmlformats.org/officeDocument/2006/relationships/hyperlink" Target="https://drive.google.com/open?id=1NXA4UMPbH4j1x8tn_vQVQQUfbPe1hAm3" TargetMode="External"/><Relationship Id="rId220" Type="http://schemas.openxmlformats.org/officeDocument/2006/relationships/hyperlink" Target="https://drive.google.com/open?id=1Z9dloCWpQbW2ycn4VLAJBANSE6xJMBCU" TargetMode="External"/><Relationship Id="rId103" Type="http://schemas.openxmlformats.org/officeDocument/2006/relationships/hyperlink" Target="https://drive.google.com/open?id=1ZU0Omcdgi5xobcYjEbuADz5rM0tMWg3F" TargetMode="External"/><Relationship Id="rId224" Type="http://schemas.openxmlformats.org/officeDocument/2006/relationships/hyperlink" Target="https://drive.google.com/open?id=1hVCXy9oNkcmO2mDKeAqew-JPzzH7W3py" TargetMode="External"/><Relationship Id="rId102" Type="http://schemas.openxmlformats.org/officeDocument/2006/relationships/hyperlink" Target="https://drive.google.com/open?id=1wEjp_Jl3DmoPLTDD4-nhMStRVnK5AdQN" TargetMode="External"/><Relationship Id="rId223" Type="http://schemas.openxmlformats.org/officeDocument/2006/relationships/hyperlink" Target="https://drive.google.com/open?id=1fxl-SnwV5k095TLD3Ru1Gv62hFwi2cqb" TargetMode="External"/><Relationship Id="rId101" Type="http://schemas.openxmlformats.org/officeDocument/2006/relationships/hyperlink" Target="https://drive.google.com/open?id=1fq_HnJoUq3IIAjJYMh7Ft3tpio2HwPzA" TargetMode="External"/><Relationship Id="rId222" Type="http://schemas.openxmlformats.org/officeDocument/2006/relationships/hyperlink" Target="https://drive.google.com/open?id=1_15YhVuQu_8IPoOVNXR5cLU9MqSuHmz2" TargetMode="External"/><Relationship Id="rId100" Type="http://schemas.openxmlformats.org/officeDocument/2006/relationships/hyperlink" Target="https://drive.google.com/open?id=1o5xqLrVn6QF8OY6Fs1GcVcqF_rrg_rR5" TargetMode="External"/><Relationship Id="rId221" Type="http://schemas.openxmlformats.org/officeDocument/2006/relationships/hyperlink" Target="https://drive.google.com/open?id=18klmTJBlm9wfgILpSpu2jycTTCF_lX_V" TargetMode="External"/><Relationship Id="rId217" Type="http://schemas.openxmlformats.org/officeDocument/2006/relationships/hyperlink" Target="https://drive.google.com/open?id=1sIj7nHB1x9jJ5TqU_hMU_YT7g79ShH11" TargetMode="External"/><Relationship Id="rId216" Type="http://schemas.openxmlformats.org/officeDocument/2006/relationships/hyperlink" Target="https://drive.google.com/open?id=1Ny1iByWBPR_Y_zTuRea7u2MSGvv2q-x5" TargetMode="External"/><Relationship Id="rId215" Type="http://schemas.openxmlformats.org/officeDocument/2006/relationships/hyperlink" Target="https://drive.google.com/open?id=1gmeU10_G3zAICmN8xf1OJwl9XprENK9T" TargetMode="External"/><Relationship Id="rId214" Type="http://schemas.openxmlformats.org/officeDocument/2006/relationships/hyperlink" Target="https://drive.google.com/open?id=17pxv6IPti-lmgyQFClfuOw_PpNvuaDq_" TargetMode="External"/><Relationship Id="rId219" Type="http://schemas.openxmlformats.org/officeDocument/2006/relationships/hyperlink" Target="https://drive.google.com/open?id=1mPEH7r7q6_EC5vnXCVPWtfYNlS1j5y6g" TargetMode="External"/><Relationship Id="rId218" Type="http://schemas.openxmlformats.org/officeDocument/2006/relationships/hyperlink" Target="https://drive.google.com/open?id=1GfUozfCXftE9FJk1ImQ8W7HeN7f9yYO6" TargetMode="External"/><Relationship Id="rId213" Type="http://schemas.openxmlformats.org/officeDocument/2006/relationships/hyperlink" Target="https://drive.google.com/open?id=1cucX_V1BKwaQ5RJTDsFjf7TL3I1ODaUW" TargetMode="External"/><Relationship Id="rId212" Type="http://schemas.openxmlformats.org/officeDocument/2006/relationships/hyperlink" Target="https://drive.google.com/open?id=1kvFWbaCF6swjp6X1UsgyiJwrxARU2r5i" TargetMode="External"/><Relationship Id="rId211" Type="http://schemas.openxmlformats.org/officeDocument/2006/relationships/hyperlink" Target="https://drive.google.com/open?id=1t6wXgeKStYe9V3uVG0YCOnn7YGBpFGOE" TargetMode="External"/><Relationship Id="rId210" Type="http://schemas.openxmlformats.org/officeDocument/2006/relationships/hyperlink" Target="https://drive.google.com/open?id=12T_qhUKFMEK3mXwILAkmwLTSGu73FlIZ" TargetMode="External"/><Relationship Id="rId129" Type="http://schemas.openxmlformats.org/officeDocument/2006/relationships/hyperlink" Target="https://drive.google.com/open?id=1NLiW1vd8b4Vygdn41uPrS2Rcdi3ZMXDR" TargetMode="External"/><Relationship Id="rId128" Type="http://schemas.openxmlformats.org/officeDocument/2006/relationships/hyperlink" Target="https://drive.google.com/open?id=1575DHsaN16OL693CxCkQIoypT05fwWZM" TargetMode="External"/><Relationship Id="rId127" Type="http://schemas.openxmlformats.org/officeDocument/2006/relationships/hyperlink" Target="https://drive.google.com/open?id=1Bul2fFMLzvmWu2pEETKGWmsPxUVf6N5d" TargetMode="External"/><Relationship Id="rId126" Type="http://schemas.openxmlformats.org/officeDocument/2006/relationships/hyperlink" Target="https://drive.google.com/open?id=1PcB0q6TRYo8ngPp7s-pK-YRKuBQTMfut" TargetMode="External"/><Relationship Id="rId121" Type="http://schemas.openxmlformats.org/officeDocument/2006/relationships/hyperlink" Target="https://drive.google.com/open?id=1UIyDXwJj_A8fGcC4Lgg8aX5KHkrOxEBP" TargetMode="External"/><Relationship Id="rId242" Type="http://schemas.openxmlformats.org/officeDocument/2006/relationships/vmlDrawing" Target="../drawings/vmlDrawing1.vml"/><Relationship Id="rId120" Type="http://schemas.openxmlformats.org/officeDocument/2006/relationships/hyperlink" Target="https://drive.google.com/open?id=1Qj7mBx_7sLddz0tzXc8XfFek8r-rAlE_" TargetMode="External"/><Relationship Id="rId241" Type="http://schemas.openxmlformats.org/officeDocument/2006/relationships/drawing" Target="../drawings/drawing1.xml"/><Relationship Id="rId240" Type="http://schemas.openxmlformats.org/officeDocument/2006/relationships/hyperlink" Target="https://drive.google.com/open?id=1s3A7wD9-YPWiJ2cV7R0LVOaiyONg_myT" TargetMode="External"/><Relationship Id="rId125" Type="http://schemas.openxmlformats.org/officeDocument/2006/relationships/hyperlink" Target="https://drive.google.com/open?id=1v_GuZEuqxTeE6fqp9Qlhyz0pyZH8IVSj" TargetMode="External"/><Relationship Id="rId124" Type="http://schemas.openxmlformats.org/officeDocument/2006/relationships/hyperlink" Target="https://drive.google.com/open?id=10ZdaQ2_jAhO3GJOeBauHRNUgru63lhA4" TargetMode="External"/><Relationship Id="rId123" Type="http://schemas.openxmlformats.org/officeDocument/2006/relationships/hyperlink" Target="https://drive.google.com/open?id=1XwDNilZZfGDERLHLFuUP98pcoZpxOTIt" TargetMode="External"/><Relationship Id="rId244" Type="http://schemas.openxmlformats.org/officeDocument/2006/relationships/table" Target="../tables/table1.xml"/><Relationship Id="rId122" Type="http://schemas.openxmlformats.org/officeDocument/2006/relationships/hyperlink" Target="https://drive.google.com/open?id=17WisTjbYEDOI3u2mLLZJixeRX2HlOchQ" TargetMode="External"/><Relationship Id="rId95" Type="http://schemas.openxmlformats.org/officeDocument/2006/relationships/hyperlink" Target="https://drive.google.com/open?id=173gbCzr25cTRCDI1VwApcFwTFzC6Bf2q" TargetMode="External"/><Relationship Id="rId94" Type="http://schemas.openxmlformats.org/officeDocument/2006/relationships/hyperlink" Target="https://drive.google.com/open?id=12rBvxu8arPjASXFYHAGB6KM4hi44h7ZP" TargetMode="External"/><Relationship Id="rId97" Type="http://schemas.openxmlformats.org/officeDocument/2006/relationships/hyperlink" Target="https://drive.google.com/open?id=1fHpZq4-l4CGPvl2ZWG3Hah5_AkAePOQx" TargetMode="External"/><Relationship Id="rId96" Type="http://schemas.openxmlformats.org/officeDocument/2006/relationships/hyperlink" Target="https://drive.google.com/open?id=1MV9owIvLnw-2jeoJ8R7Tna4yJNlJL9MU" TargetMode="External"/><Relationship Id="rId99" Type="http://schemas.openxmlformats.org/officeDocument/2006/relationships/hyperlink" Target="https://drive.google.com/open?id=1B18P7XcIQlDaE6n3xOhEEiBJx6CLoOEn" TargetMode="External"/><Relationship Id="rId98" Type="http://schemas.openxmlformats.org/officeDocument/2006/relationships/hyperlink" Target="https://drive.google.com/open?id=1QCoR0qmNmyEh9z5jmdt7PHm9PsiL9IkC" TargetMode="External"/><Relationship Id="rId91" Type="http://schemas.openxmlformats.org/officeDocument/2006/relationships/hyperlink" Target="https://drive.google.com/open?id=1BAH2ep8QmMFAoPShbScwdcV_lv2tUuUr" TargetMode="External"/><Relationship Id="rId90" Type="http://schemas.openxmlformats.org/officeDocument/2006/relationships/hyperlink" Target="https://drive.google.com/open?id=1SNYSZHuvwSE9MrK4aLx4Rqt6DXG30GUV" TargetMode="External"/><Relationship Id="rId93" Type="http://schemas.openxmlformats.org/officeDocument/2006/relationships/hyperlink" Target="https://drive.google.com/open?id=1V3iezckK-y8Lp_tYtcn0xgkdc29zRCzh" TargetMode="External"/><Relationship Id="rId92" Type="http://schemas.openxmlformats.org/officeDocument/2006/relationships/hyperlink" Target="https://drive.google.com/open?id=1H12ElJGvT5SIlgOKBdI-vLZde1KAoB0o" TargetMode="External"/><Relationship Id="rId118" Type="http://schemas.openxmlformats.org/officeDocument/2006/relationships/hyperlink" Target="https://drive.google.com/open?id=1WPLKaxCpn09Hj9S_dyQcAe_9YwLe8cHG" TargetMode="External"/><Relationship Id="rId239" Type="http://schemas.openxmlformats.org/officeDocument/2006/relationships/hyperlink" Target="https://drive.google.com/open?id=1nY8uA2NoNAigzKYarmG6R01a7HPKFruj" TargetMode="External"/><Relationship Id="rId117" Type="http://schemas.openxmlformats.org/officeDocument/2006/relationships/hyperlink" Target="https://drive.google.com/open?id=1ISS1U2hNGKITj7N4nfJaun8YKxdhOAVw" TargetMode="External"/><Relationship Id="rId238" Type="http://schemas.openxmlformats.org/officeDocument/2006/relationships/hyperlink" Target="https://drive.google.com/open?id=1qasI3ibGehKR79Hw0ww7T4fsA83jyQbP" TargetMode="External"/><Relationship Id="rId116" Type="http://schemas.openxmlformats.org/officeDocument/2006/relationships/hyperlink" Target="https://drive.google.com/open?id=1X7Xd-OqKf1e4FrhkPnBsZFU1OCZUcrz3" TargetMode="External"/><Relationship Id="rId237" Type="http://schemas.openxmlformats.org/officeDocument/2006/relationships/hyperlink" Target="https://drive.google.com/open?id=13MzO3qt6zPPXd8_DM-RumT8sndza5Rhm" TargetMode="External"/><Relationship Id="rId115" Type="http://schemas.openxmlformats.org/officeDocument/2006/relationships/hyperlink" Target="https://drive.google.com/open?id=1HQqWJxzB3UzzbqJtoI1OS8pAex2V00af" TargetMode="External"/><Relationship Id="rId236" Type="http://schemas.openxmlformats.org/officeDocument/2006/relationships/hyperlink" Target="https://drive.google.com/open?id=1PY_HxldfbKT_wOIKxKBu_hGuPbRrrSOf" TargetMode="External"/><Relationship Id="rId119" Type="http://schemas.openxmlformats.org/officeDocument/2006/relationships/hyperlink" Target="https://drive.google.com/open?id=1FkqGOhfRueEfiwznY1zpgFHtv9xjgTTS" TargetMode="External"/><Relationship Id="rId110" Type="http://schemas.openxmlformats.org/officeDocument/2006/relationships/hyperlink" Target="https://drive.google.com/open?id=153EGvK3qBEUdTriNJZhd2uAaXPyYJAkA" TargetMode="External"/><Relationship Id="rId231" Type="http://schemas.openxmlformats.org/officeDocument/2006/relationships/hyperlink" Target="https://drive.google.com/open?id=1SLEvIOlqhcrRWsEMDNnPRvigzQYtO9NQ" TargetMode="External"/><Relationship Id="rId230" Type="http://schemas.openxmlformats.org/officeDocument/2006/relationships/hyperlink" Target="https://drive.google.com/open?id=1pVML0ljw_o_JiRHqTp9InR4w_kjugwH7" TargetMode="External"/><Relationship Id="rId114" Type="http://schemas.openxmlformats.org/officeDocument/2006/relationships/hyperlink" Target="https://drive.google.com/open?id=1IhTZkPwvn3G1mRkoBqWmwpYYLoPi7WPF" TargetMode="External"/><Relationship Id="rId235" Type="http://schemas.openxmlformats.org/officeDocument/2006/relationships/hyperlink" Target="https://drive.google.com/open?id=15fRCAY__305HT6PGQrmyjH7WjF-iKFtk" TargetMode="External"/><Relationship Id="rId113" Type="http://schemas.openxmlformats.org/officeDocument/2006/relationships/hyperlink" Target="https://drive.google.com/open?id=17pGyp4sMt63MkpVXCaaqE7E7v3MCcUoY" TargetMode="External"/><Relationship Id="rId234" Type="http://schemas.openxmlformats.org/officeDocument/2006/relationships/hyperlink" Target="https://drive.google.com/open?id=1HsE8o4lhKgo0stMXZbqrsY6mg8CmGigo" TargetMode="External"/><Relationship Id="rId112" Type="http://schemas.openxmlformats.org/officeDocument/2006/relationships/hyperlink" Target="https://drive.google.com/open?id=1cfa3u2ntHaT0oPp3f-d4LW9PCq4sl6x3" TargetMode="External"/><Relationship Id="rId233" Type="http://schemas.openxmlformats.org/officeDocument/2006/relationships/hyperlink" Target="https://drive.google.com/open?id=1S8iTlz3IvrMTMG_cNmD-66e2qv1ujn80" TargetMode="External"/><Relationship Id="rId111" Type="http://schemas.openxmlformats.org/officeDocument/2006/relationships/hyperlink" Target="https://drive.google.com/open?id=1RahUTGDqHmeS9_ybxiTS1qXPZgW8Si1a" TargetMode="External"/><Relationship Id="rId232" Type="http://schemas.openxmlformats.org/officeDocument/2006/relationships/hyperlink" Target="https://drive.google.com/open?id=1LtxlPbr5xhWRRYDML9r4aL4WEW4IUYB6" TargetMode="External"/><Relationship Id="rId206" Type="http://schemas.openxmlformats.org/officeDocument/2006/relationships/hyperlink" Target="https://drive.google.com/open?id=1UEuTbJk_YV5L4JanhA1L6_oMg-8ZM4zl" TargetMode="External"/><Relationship Id="rId205" Type="http://schemas.openxmlformats.org/officeDocument/2006/relationships/hyperlink" Target="https://drive.google.com/open?id=1qn180RXW_07ZmxDr8Y-fF41PrklpAr6b" TargetMode="External"/><Relationship Id="rId204" Type="http://schemas.openxmlformats.org/officeDocument/2006/relationships/hyperlink" Target="https://drive.google.com/open?id=10COIi7zjD2Cse6Gv6OVMLoQSlMjjpwAD" TargetMode="External"/><Relationship Id="rId203" Type="http://schemas.openxmlformats.org/officeDocument/2006/relationships/hyperlink" Target="https://drive.google.com/open?id=1HIzosk-nKsBMB6jn5BAk4fZGErfluSHr" TargetMode="External"/><Relationship Id="rId209" Type="http://schemas.openxmlformats.org/officeDocument/2006/relationships/hyperlink" Target="https://drive.google.com/open?id=1mpHuaJ6cyq1oVd0-8oe8XpQ_pQIeqT0L" TargetMode="External"/><Relationship Id="rId208" Type="http://schemas.openxmlformats.org/officeDocument/2006/relationships/hyperlink" Target="https://drive.google.com/open?id=1ynGSzIRe_txpLzW-B6dwUOy5c54xPova" TargetMode="External"/><Relationship Id="rId207" Type="http://schemas.openxmlformats.org/officeDocument/2006/relationships/hyperlink" Target="https://drive.google.com/open?id=1H-FZZoqL8las9-URV7U-jw_DuzDngSh4" TargetMode="External"/><Relationship Id="rId202" Type="http://schemas.openxmlformats.org/officeDocument/2006/relationships/hyperlink" Target="https://drive.google.com/open?id=1_hTAKFkORxG6VRZ_2mX_uKaRxgqAo_hZ" TargetMode="External"/><Relationship Id="rId201" Type="http://schemas.openxmlformats.org/officeDocument/2006/relationships/hyperlink" Target="https://drive.google.com/open?id=1NwKdKNEmJEXa_NGE9OeZ5ZEy2KHN3wav" TargetMode="External"/><Relationship Id="rId200" Type="http://schemas.openxmlformats.org/officeDocument/2006/relationships/hyperlink" Target="https://drive.google.com/open?id=1XAtMZqq3AnSijbWaFJFjJJRzYdmMqDT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0"/>
    <col customWidth="1" min="3" max="3" width="21.38"/>
    <col customWidth="1" min="4" max="4" width="20.25"/>
    <col customWidth="1" min="5" max="5" width="21.63"/>
    <col customWidth="1" min="6" max="6" width="28.0"/>
    <col customWidth="1" min="7" max="7" width="28.38"/>
    <col customWidth="1" min="8" max="8" width="34.13"/>
    <col customWidth="1" min="9" max="9" width="51.13"/>
    <col customWidth="1" hidden="1" min="10" max="10" width="24.38"/>
    <col customWidth="1" min="11" max="12" width="18.88"/>
    <col customWidth="1" min="13" max="13" width="29.63"/>
    <col customWidth="1" min="14" max="14" width="22.13"/>
    <col customWidth="1" min="15" max="16" width="18.88"/>
    <col customWidth="1" min="17" max="17" width="50.0"/>
    <col customWidth="1" min="18" max="18" width="56.13"/>
    <col customWidth="1" min="19" max="19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>
      <c r="A2" s="5">
        <v>46086.57717980324</v>
      </c>
      <c r="B2" s="6" t="s">
        <v>17</v>
      </c>
      <c r="C2" s="6" t="s">
        <v>18</v>
      </c>
      <c r="D2" s="6" t="s">
        <v>19</v>
      </c>
      <c r="E2" s="6" t="s">
        <v>20</v>
      </c>
      <c r="F2" s="7">
        <v>47118.0</v>
      </c>
      <c r="G2" s="6" t="s">
        <v>21</v>
      </c>
      <c r="H2" s="6" t="s">
        <v>22</v>
      </c>
      <c r="I2" s="8" t="s">
        <v>23</v>
      </c>
      <c r="J2" s="9"/>
      <c r="K2" s="6" t="s">
        <v>24</v>
      </c>
      <c r="L2" s="10" t="s">
        <v>25</v>
      </c>
      <c r="M2" s="11"/>
      <c r="N2" s="6" t="b">
        <v>1</v>
      </c>
      <c r="O2" s="6" t="b">
        <v>1</v>
      </c>
      <c r="P2" s="9" t="str">
        <f>IFERROR(__xludf.DUMMYFUNCTION("SPARKLINE(COUNTIF(N2:O2,TRUE),{""charttype"",""bar"";""max"",2;""color1"",IF(COUNTIF(N2:O2, TRUE)=2, ""green"", ""yellow"")})"),"")</f>
        <v/>
      </c>
      <c r="Q2" s="6" t="s">
        <v>26</v>
      </c>
    </row>
    <row r="3">
      <c r="A3" s="5">
        <v>46087.41728570602</v>
      </c>
      <c r="B3" s="6" t="s">
        <v>27</v>
      </c>
      <c r="C3" s="6" t="s">
        <v>28</v>
      </c>
      <c r="D3" s="6" t="s">
        <v>29</v>
      </c>
      <c r="E3" s="6" t="s">
        <v>30</v>
      </c>
      <c r="F3" s="7">
        <v>46387.0</v>
      </c>
      <c r="G3" s="6" t="s">
        <v>31</v>
      </c>
      <c r="H3" s="6" t="s">
        <v>32</v>
      </c>
      <c r="I3" s="8" t="s">
        <v>33</v>
      </c>
      <c r="J3" s="9"/>
      <c r="K3" s="6" t="s">
        <v>24</v>
      </c>
      <c r="L3" s="10" t="s">
        <v>34</v>
      </c>
      <c r="M3" s="9"/>
      <c r="N3" s="6" t="b">
        <v>1</v>
      </c>
      <c r="O3" s="6" t="b">
        <v>1</v>
      </c>
      <c r="P3" s="9" t="str">
        <f>IFERROR(__xludf.DUMMYFUNCTION("SPARKLINE(COUNTIF(N3:O3,TRUE),{""charttype"",""bar"";""max"",2;""color1"",IF(COUNTIF(N3:O3, TRUE)=2, ""green"", ""yellow"")})"),"")</f>
        <v/>
      </c>
      <c r="Q3" s="6" t="s">
        <v>26</v>
      </c>
    </row>
    <row r="4">
      <c r="A4" s="5">
        <v>46087.46684887732</v>
      </c>
      <c r="B4" s="6" t="s">
        <v>35</v>
      </c>
      <c r="C4" s="6" t="s">
        <v>36</v>
      </c>
      <c r="D4" s="6" t="s">
        <v>37</v>
      </c>
      <c r="E4" s="6" t="s">
        <v>38</v>
      </c>
      <c r="F4" s="7">
        <v>46752.0</v>
      </c>
      <c r="G4" s="6" t="s">
        <v>31</v>
      </c>
      <c r="H4" s="6" t="s">
        <v>39</v>
      </c>
      <c r="I4" s="8" t="s">
        <v>40</v>
      </c>
      <c r="J4" s="9"/>
      <c r="K4" s="6" t="s">
        <v>24</v>
      </c>
      <c r="L4" s="10" t="s">
        <v>41</v>
      </c>
      <c r="M4" s="9"/>
      <c r="N4" s="6" t="b">
        <v>1</v>
      </c>
      <c r="O4" s="6" t="b">
        <v>1</v>
      </c>
      <c r="P4" s="9" t="str">
        <f>IFERROR(__xludf.DUMMYFUNCTION("SPARKLINE(COUNTIF(N4:O4,TRUE),{""charttype"",""bar"";""max"",2;""color1"",IF(COUNTIF(N4:O4, TRUE)=2, ""green"", ""yellow"")})"),"")</f>
        <v/>
      </c>
      <c r="Q4" s="6" t="s">
        <v>26</v>
      </c>
    </row>
    <row r="5">
      <c r="A5" s="5">
        <v>46087.55783125</v>
      </c>
      <c r="B5" s="6" t="s">
        <v>42</v>
      </c>
      <c r="C5" s="6" t="s">
        <v>43</v>
      </c>
      <c r="D5" s="6" t="s">
        <v>44</v>
      </c>
      <c r="E5" s="6" t="s">
        <v>45</v>
      </c>
      <c r="F5" s="7">
        <v>46387.0</v>
      </c>
      <c r="G5" s="6" t="s">
        <v>46</v>
      </c>
      <c r="H5" s="6" t="s">
        <v>47</v>
      </c>
      <c r="I5" s="12" t="s">
        <v>48</v>
      </c>
      <c r="J5" s="6" t="s">
        <v>49</v>
      </c>
      <c r="K5" s="6" t="s">
        <v>24</v>
      </c>
      <c r="L5" s="10" t="s">
        <v>50</v>
      </c>
      <c r="M5" s="9"/>
      <c r="N5" s="6" t="b">
        <v>1</v>
      </c>
      <c r="O5" s="6" t="b">
        <v>1</v>
      </c>
      <c r="P5" s="9" t="str">
        <f>IFERROR(__xludf.DUMMYFUNCTION("SPARKLINE(COUNTIF(N5:O5,TRUE),{""charttype"",""bar"";""max"",2;""color1"",IF(COUNTIF(N5:O5, TRUE)=2, ""green"", ""yellow"")})"),"")</f>
        <v/>
      </c>
      <c r="Q5" s="6" t="s">
        <v>26</v>
      </c>
    </row>
    <row r="6">
      <c r="A6" s="5">
        <v>46090.6606372338</v>
      </c>
      <c r="B6" s="6" t="s">
        <v>51</v>
      </c>
      <c r="C6" s="6" t="s">
        <v>52</v>
      </c>
      <c r="D6" s="6" t="s">
        <v>53</v>
      </c>
      <c r="E6" s="6" t="s">
        <v>54</v>
      </c>
      <c r="F6" s="7">
        <v>47118.0</v>
      </c>
      <c r="G6" s="6" t="s">
        <v>46</v>
      </c>
      <c r="H6" s="6" t="s">
        <v>55</v>
      </c>
      <c r="I6" s="12" t="s">
        <v>56</v>
      </c>
      <c r="J6" s="6" t="s">
        <v>49</v>
      </c>
      <c r="K6" s="6" t="s">
        <v>24</v>
      </c>
      <c r="L6" s="10" t="s">
        <v>57</v>
      </c>
      <c r="M6" s="9"/>
      <c r="N6" s="6" t="b">
        <v>1</v>
      </c>
      <c r="O6" s="6" t="b">
        <v>1</v>
      </c>
      <c r="P6" s="9" t="str">
        <f>IFERROR(__xludf.DUMMYFUNCTION("SPARKLINE(COUNTIF(N6:O6,TRUE),{""charttype"",""bar"";""max"",2;""color1"",IF(COUNTIF(N6:O6, TRUE)=2, ""green"", ""yellow"")})"),"")</f>
        <v/>
      </c>
      <c r="Q6" s="6" t="s">
        <v>26</v>
      </c>
    </row>
    <row r="7">
      <c r="A7" s="5">
        <v>46091.394546261574</v>
      </c>
      <c r="B7" s="6" t="s">
        <v>58</v>
      </c>
      <c r="C7" s="6" t="s">
        <v>59</v>
      </c>
      <c r="D7" s="6" t="s">
        <v>60</v>
      </c>
      <c r="E7" s="6" t="s">
        <v>61</v>
      </c>
      <c r="F7" s="7">
        <v>46660.0</v>
      </c>
      <c r="G7" s="6" t="s">
        <v>62</v>
      </c>
      <c r="H7" s="6" t="s">
        <v>63</v>
      </c>
      <c r="I7" s="8" t="s">
        <v>64</v>
      </c>
      <c r="J7" s="6" t="s">
        <v>49</v>
      </c>
      <c r="K7" s="6" t="s">
        <v>24</v>
      </c>
      <c r="L7" s="10" t="s">
        <v>65</v>
      </c>
      <c r="M7" s="9"/>
      <c r="N7" s="6" t="b">
        <v>1</v>
      </c>
      <c r="O7" s="6" t="b">
        <v>1</v>
      </c>
      <c r="P7" s="9" t="str">
        <f>IFERROR(__xludf.DUMMYFUNCTION("SPARKLINE(COUNTIF(N7:O7,TRUE),{""charttype"",""bar"";""max"",2;""color1"",IF(COUNTIF(N7:O7, TRUE)=2, ""green"", ""yellow"")})"),"")</f>
        <v/>
      </c>
      <c r="Q7" s="6" t="s">
        <v>26</v>
      </c>
    </row>
    <row r="8">
      <c r="A8" s="5">
        <v>46091.40555787037</v>
      </c>
      <c r="B8" s="6" t="s">
        <v>66</v>
      </c>
      <c r="C8" s="6" t="s">
        <v>67</v>
      </c>
      <c r="D8" s="6" t="s">
        <v>68</v>
      </c>
      <c r="E8" s="6" t="s">
        <v>69</v>
      </c>
      <c r="F8" s="7">
        <v>46387.0</v>
      </c>
      <c r="G8" s="6" t="s">
        <v>62</v>
      </c>
      <c r="H8" s="6" t="s">
        <v>70</v>
      </c>
      <c r="I8" s="12" t="s">
        <v>71</v>
      </c>
      <c r="J8" s="6" t="s">
        <v>49</v>
      </c>
      <c r="K8" s="6" t="s">
        <v>24</v>
      </c>
      <c r="L8" s="10" t="s">
        <v>72</v>
      </c>
      <c r="M8" s="9"/>
      <c r="N8" s="6" t="b">
        <v>1</v>
      </c>
      <c r="O8" s="6" t="b">
        <v>1</v>
      </c>
      <c r="P8" s="9" t="str">
        <f>IFERROR(__xludf.DUMMYFUNCTION("SPARKLINE(COUNTIF(N8:O8,TRUE),{""charttype"",""bar"";""max"",2;""color1"",IF(COUNTIF(N8:O8, TRUE)=2, ""green"", ""yellow"")})"),"")</f>
        <v/>
      </c>
      <c r="Q8" s="6" t="s">
        <v>26</v>
      </c>
    </row>
    <row r="9">
      <c r="A9" s="5">
        <v>46091.431237349534</v>
      </c>
      <c r="B9" s="6" t="s">
        <v>73</v>
      </c>
      <c r="C9" s="6" t="s">
        <v>74</v>
      </c>
      <c r="D9" s="6" t="s">
        <v>75</v>
      </c>
      <c r="E9" s="6" t="s">
        <v>76</v>
      </c>
      <c r="F9" s="7">
        <v>46295.0</v>
      </c>
      <c r="G9" s="6" t="s">
        <v>62</v>
      </c>
      <c r="H9" s="6" t="s">
        <v>77</v>
      </c>
      <c r="I9" s="8" t="s">
        <v>78</v>
      </c>
      <c r="J9" s="6" t="s">
        <v>49</v>
      </c>
      <c r="K9" s="6" t="s">
        <v>24</v>
      </c>
      <c r="L9" s="10" t="s">
        <v>79</v>
      </c>
      <c r="M9" s="9"/>
      <c r="N9" s="6" t="b">
        <v>1</v>
      </c>
      <c r="O9" s="6" t="b">
        <v>1</v>
      </c>
      <c r="P9" s="9" t="str">
        <f>IFERROR(__xludf.DUMMYFUNCTION("SPARKLINE(COUNTIF(N9:O9,TRUE),{""charttype"",""bar"";""max"",2;""color1"",IF(COUNTIF(N9:O9, TRUE)=2, ""green"", ""yellow"")})"),"")</f>
        <v/>
      </c>
      <c r="Q9" s="6" t="s">
        <v>26</v>
      </c>
    </row>
    <row r="10">
      <c r="A10" s="5">
        <v>46091.61039321759</v>
      </c>
      <c r="B10" s="6" t="s">
        <v>80</v>
      </c>
      <c r="C10" s="6" t="s">
        <v>81</v>
      </c>
      <c r="D10" s="6" t="s">
        <v>82</v>
      </c>
      <c r="E10" s="6" t="s">
        <v>83</v>
      </c>
      <c r="F10" s="7">
        <v>46387.0</v>
      </c>
      <c r="G10" s="6" t="s">
        <v>62</v>
      </c>
      <c r="H10" s="6" t="s">
        <v>84</v>
      </c>
      <c r="I10" s="8" t="s">
        <v>85</v>
      </c>
      <c r="J10" s="6" t="s">
        <v>49</v>
      </c>
      <c r="K10" s="6" t="s">
        <v>24</v>
      </c>
      <c r="L10" s="10" t="s">
        <v>86</v>
      </c>
      <c r="M10" s="9"/>
      <c r="N10" s="6" t="b">
        <v>1</v>
      </c>
      <c r="O10" s="6" t="b">
        <v>1</v>
      </c>
      <c r="P10" s="9" t="str">
        <f>IFERROR(__xludf.DUMMYFUNCTION("SPARKLINE(COUNTIF(N10:O10,TRUE),{""charttype"",""bar"";""max"",2;""color1"",IF(COUNTIF(N10:O10, TRUE)=2, ""green"", ""yellow"")})"),"")</f>
        <v/>
      </c>
      <c r="Q10" s="6" t="s">
        <v>26</v>
      </c>
    </row>
    <row r="11">
      <c r="A11" s="5">
        <v>46091.63818811343</v>
      </c>
      <c r="B11" s="6" t="s">
        <v>87</v>
      </c>
      <c r="C11" s="6" t="s">
        <v>88</v>
      </c>
      <c r="D11" s="6" t="s">
        <v>89</v>
      </c>
      <c r="E11" s="6" t="s">
        <v>90</v>
      </c>
      <c r="F11" s="7">
        <v>46022.0</v>
      </c>
      <c r="G11" s="6" t="s">
        <v>91</v>
      </c>
      <c r="H11" s="6" t="s">
        <v>92</v>
      </c>
      <c r="I11" s="12" t="s">
        <v>93</v>
      </c>
      <c r="J11" s="6" t="s">
        <v>49</v>
      </c>
      <c r="K11" s="6" t="s">
        <v>24</v>
      </c>
      <c r="L11" s="10" t="s">
        <v>94</v>
      </c>
      <c r="M11" s="9"/>
      <c r="N11" s="6" t="b">
        <v>0</v>
      </c>
      <c r="O11" s="6" t="b">
        <v>1</v>
      </c>
      <c r="P11" s="9" t="str">
        <f>IFERROR(__xludf.DUMMYFUNCTION("SPARKLINE(COUNTIF(N11:O11,TRUE),{""charttype"",""bar"";""max"",2;""color1"",IF(COUNTIF(N11:O11, TRUE)=2, ""green"", ""yellow"")})"),"")</f>
        <v/>
      </c>
      <c r="Q11" s="6" t="s">
        <v>26</v>
      </c>
      <c r="R11" s="13" t="s">
        <v>95</v>
      </c>
    </row>
    <row r="12">
      <c r="A12" s="5">
        <v>46092.555577962965</v>
      </c>
      <c r="B12" s="6" t="s">
        <v>96</v>
      </c>
      <c r="C12" s="6" t="s">
        <v>97</v>
      </c>
      <c r="D12" s="6" t="s">
        <v>98</v>
      </c>
      <c r="E12" s="6" t="s">
        <v>99</v>
      </c>
      <c r="F12" s="7">
        <v>46752.0</v>
      </c>
      <c r="G12" s="6" t="s">
        <v>62</v>
      </c>
      <c r="H12" s="6" t="s">
        <v>100</v>
      </c>
      <c r="I12" s="12" t="s">
        <v>101</v>
      </c>
      <c r="J12" s="6" t="s">
        <v>49</v>
      </c>
      <c r="K12" s="6" t="s">
        <v>24</v>
      </c>
      <c r="L12" s="10" t="s">
        <v>102</v>
      </c>
      <c r="M12" s="9"/>
      <c r="N12" s="6" t="b">
        <v>1</v>
      </c>
      <c r="O12" s="6" t="b">
        <v>1</v>
      </c>
      <c r="P12" s="9" t="str">
        <f>IFERROR(__xludf.DUMMYFUNCTION("SPARKLINE(COUNTIF(N12:O12,TRUE),{""charttype"",""bar"";""max"",2;""color1"",IF(COUNTIF(N12:O12, TRUE)=2, ""green"", ""yellow"")})"),"")</f>
        <v/>
      </c>
      <c r="Q12" s="6" t="s">
        <v>26</v>
      </c>
    </row>
    <row r="13">
      <c r="A13" s="5">
        <v>46092.72868071759</v>
      </c>
      <c r="B13" s="6" t="s">
        <v>103</v>
      </c>
      <c r="C13" s="6" t="s">
        <v>104</v>
      </c>
      <c r="D13" s="6" t="s">
        <v>105</v>
      </c>
      <c r="E13" s="6" t="s">
        <v>106</v>
      </c>
      <c r="F13" s="7">
        <v>45901.0</v>
      </c>
      <c r="G13" s="6" t="s">
        <v>62</v>
      </c>
      <c r="H13" s="6" t="s">
        <v>107</v>
      </c>
      <c r="I13" s="8" t="s">
        <v>108</v>
      </c>
      <c r="J13" s="6" t="s">
        <v>49</v>
      </c>
      <c r="K13" s="6" t="s">
        <v>24</v>
      </c>
      <c r="L13" s="10" t="s">
        <v>109</v>
      </c>
      <c r="M13" s="12" t="s">
        <v>110</v>
      </c>
      <c r="N13" s="6" t="b">
        <v>0</v>
      </c>
      <c r="O13" s="6" t="b">
        <v>1</v>
      </c>
      <c r="P13" s="9" t="str">
        <f>IFERROR(__xludf.DUMMYFUNCTION("SPARKLINE(COUNTIF(N13:O13,TRUE),{""charttype"",""bar"";""max"",2;""color1"",IF(COUNTIF(N13:O13, TRUE)=2, ""green"", ""yellow"")})"),"")</f>
        <v/>
      </c>
      <c r="Q13" s="6" t="s">
        <v>26</v>
      </c>
      <c r="R13" s="13" t="s">
        <v>95</v>
      </c>
    </row>
    <row r="14">
      <c r="A14" s="5">
        <v>46093.45339439815</v>
      </c>
      <c r="B14" s="6" t="s">
        <v>111</v>
      </c>
      <c r="C14" s="6" t="s">
        <v>112</v>
      </c>
      <c r="D14" s="6" t="s">
        <v>113</v>
      </c>
      <c r="E14" s="6" t="s">
        <v>114</v>
      </c>
      <c r="F14" s="7">
        <v>46752.0</v>
      </c>
      <c r="G14" s="6" t="s">
        <v>115</v>
      </c>
      <c r="H14" s="6" t="s">
        <v>116</v>
      </c>
      <c r="I14" s="12" t="s">
        <v>117</v>
      </c>
      <c r="J14" s="6" t="s">
        <v>49</v>
      </c>
      <c r="K14" s="6" t="s">
        <v>24</v>
      </c>
      <c r="L14" s="10" t="s">
        <v>118</v>
      </c>
      <c r="M14" s="9"/>
      <c r="N14" s="6" t="b">
        <v>1</v>
      </c>
      <c r="O14" s="6" t="b">
        <v>1</v>
      </c>
      <c r="P14" s="9" t="str">
        <f>IFERROR(__xludf.DUMMYFUNCTION("SPARKLINE(COUNTIF(N14:O14,TRUE),{""charttype"",""bar"";""max"",2;""color1"",IF(COUNTIF(N14:O14, TRUE)=2, ""green"", ""yellow"")})"),"")</f>
        <v/>
      </c>
      <c r="Q14" s="6" t="s">
        <v>26</v>
      </c>
    </row>
    <row r="15">
      <c r="A15" s="5">
        <v>46093.48043380787</v>
      </c>
      <c r="B15" s="6" t="s">
        <v>119</v>
      </c>
      <c r="C15" s="6" t="s">
        <v>120</v>
      </c>
      <c r="D15" s="6" t="s">
        <v>121</v>
      </c>
      <c r="E15" s="6" t="s">
        <v>122</v>
      </c>
      <c r="F15" s="7">
        <v>47118.0</v>
      </c>
      <c r="G15" s="6" t="s">
        <v>123</v>
      </c>
      <c r="H15" s="6" t="s">
        <v>124</v>
      </c>
      <c r="I15" s="12" t="s">
        <v>125</v>
      </c>
      <c r="J15" s="6" t="s">
        <v>49</v>
      </c>
      <c r="K15" s="6" t="s">
        <v>24</v>
      </c>
      <c r="L15" s="10" t="s">
        <v>126</v>
      </c>
      <c r="M15" s="9"/>
      <c r="N15" s="6" t="b">
        <v>1</v>
      </c>
      <c r="O15" s="6" t="b">
        <v>1</v>
      </c>
      <c r="P15" s="9" t="str">
        <f>IFERROR(__xludf.DUMMYFUNCTION("SPARKLINE(COUNTIF(N15:O15,TRUE),{""charttype"",""bar"";""max"",2;""color1"",IF(COUNTIF(N15:O15, TRUE)=2, ""green"", ""yellow"")})"),"")</f>
        <v/>
      </c>
      <c r="Q15" s="6" t="s">
        <v>26</v>
      </c>
    </row>
    <row r="16">
      <c r="A16" s="5">
        <v>46093.5597880787</v>
      </c>
      <c r="B16" s="6" t="s">
        <v>127</v>
      </c>
      <c r="C16" s="6" t="s">
        <v>19</v>
      </c>
      <c r="D16" s="6" t="s">
        <v>128</v>
      </c>
      <c r="E16" s="6" t="s">
        <v>129</v>
      </c>
      <c r="F16" s="7">
        <v>46426.0</v>
      </c>
      <c r="G16" s="6" t="s">
        <v>62</v>
      </c>
      <c r="H16" s="6" t="s">
        <v>130</v>
      </c>
      <c r="I16" s="12" t="s">
        <v>131</v>
      </c>
      <c r="J16" s="6" t="s">
        <v>49</v>
      </c>
      <c r="K16" s="6" t="s">
        <v>24</v>
      </c>
      <c r="L16" s="6" t="s">
        <v>132</v>
      </c>
      <c r="M16" s="9"/>
      <c r="N16" s="6" t="b">
        <v>1</v>
      </c>
      <c r="O16" s="6" t="b">
        <v>1</v>
      </c>
      <c r="P16" s="9" t="str">
        <f>IFERROR(__xludf.DUMMYFUNCTION("SPARKLINE(COUNTIF(N16:O16,TRUE),{""charttype"",""bar"";""max"",2;""color1"",IF(COUNTIF(N16:O16, TRUE)=2, ""green"", ""yellow"")})"),"")</f>
        <v/>
      </c>
      <c r="Q16" s="6" t="s">
        <v>26</v>
      </c>
    </row>
    <row r="17">
      <c r="A17" s="5">
        <v>46093.591602465276</v>
      </c>
      <c r="B17" s="6" t="s">
        <v>133</v>
      </c>
      <c r="C17" s="6" t="s">
        <v>134</v>
      </c>
      <c r="D17" s="6" t="s">
        <v>135</v>
      </c>
      <c r="E17" s="6" t="s">
        <v>136</v>
      </c>
      <c r="F17" s="7">
        <v>47118.0</v>
      </c>
      <c r="G17" s="6" t="s">
        <v>137</v>
      </c>
      <c r="H17" s="6" t="s">
        <v>138</v>
      </c>
      <c r="I17" s="12" t="s">
        <v>139</v>
      </c>
      <c r="J17" s="6" t="s">
        <v>49</v>
      </c>
      <c r="K17" s="6" t="s">
        <v>24</v>
      </c>
      <c r="L17" s="10" t="s">
        <v>140</v>
      </c>
      <c r="M17" s="9"/>
      <c r="N17" s="6" t="b">
        <v>0</v>
      </c>
      <c r="O17" s="6" t="b">
        <v>1</v>
      </c>
      <c r="P17" s="9" t="str">
        <f>IFERROR(__xludf.DUMMYFUNCTION("SPARKLINE(COUNTIF(N17:O17,TRUE),{""charttype"",""bar"";""max"",2;""color1"",IF(COUNTIF(N17:O17, TRUE)=2, ""green"", ""yellow"")})"),"")</f>
        <v/>
      </c>
      <c r="Q17" s="6" t="s">
        <v>26</v>
      </c>
      <c r="R17" s="13" t="s">
        <v>95</v>
      </c>
    </row>
    <row r="18">
      <c r="A18" s="5">
        <v>46093.64188967593</v>
      </c>
      <c r="B18" s="6" t="s">
        <v>141</v>
      </c>
      <c r="C18" s="6" t="s">
        <v>142</v>
      </c>
      <c r="D18" s="6" t="s">
        <v>143</v>
      </c>
      <c r="E18" s="6" t="s">
        <v>144</v>
      </c>
      <c r="F18" s="7">
        <v>46295.0</v>
      </c>
      <c r="G18" s="6" t="s">
        <v>145</v>
      </c>
      <c r="H18" s="6" t="s">
        <v>146</v>
      </c>
      <c r="I18" s="12" t="s">
        <v>147</v>
      </c>
      <c r="J18" s="6" t="s">
        <v>49</v>
      </c>
      <c r="K18" s="6" t="s">
        <v>24</v>
      </c>
      <c r="L18" s="10" t="s">
        <v>148</v>
      </c>
      <c r="M18" s="12" t="s">
        <v>149</v>
      </c>
      <c r="N18" s="6" t="b">
        <v>1</v>
      </c>
      <c r="O18" s="6" t="b">
        <v>1</v>
      </c>
      <c r="P18" s="9" t="str">
        <f>IFERROR(__xludf.DUMMYFUNCTION("SPARKLINE(COUNTIF(N18:O18,TRUE),{""charttype"",""bar"";""max"",2;""color1"",IF(COUNTIF(N18:O18, TRUE)=2, ""green"", ""yellow"")})"),"")</f>
        <v/>
      </c>
      <c r="Q18" s="6" t="s">
        <v>26</v>
      </c>
    </row>
    <row r="19">
      <c r="A19" s="5">
        <v>46093.64224194444</v>
      </c>
      <c r="B19" s="6" t="s">
        <v>150</v>
      </c>
      <c r="C19" s="6" t="s">
        <v>151</v>
      </c>
      <c r="D19" s="6" t="s">
        <v>152</v>
      </c>
      <c r="E19" s="6" t="s">
        <v>153</v>
      </c>
      <c r="F19" s="7">
        <v>46295.0</v>
      </c>
      <c r="G19" s="6" t="s">
        <v>145</v>
      </c>
      <c r="H19" s="6" t="s">
        <v>154</v>
      </c>
      <c r="I19" s="12" t="s">
        <v>155</v>
      </c>
      <c r="J19" s="6" t="s">
        <v>49</v>
      </c>
      <c r="K19" s="6" t="s">
        <v>24</v>
      </c>
      <c r="L19" s="10" t="s">
        <v>156</v>
      </c>
      <c r="M19" s="12" t="s">
        <v>157</v>
      </c>
      <c r="N19" s="6" t="b">
        <v>1</v>
      </c>
      <c r="O19" s="6" t="b">
        <v>1</v>
      </c>
      <c r="P19" s="9" t="str">
        <f>IFERROR(__xludf.DUMMYFUNCTION("SPARKLINE(COUNTIF(N19:O19,TRUE),{""charttype"",""bar"";""max"",2;""color1"",IF(COUNTIF(N19:O19, TRUE)=2, ""green"", ""yellow"")})"),"")</f>
        <v/>
      </c>
      <c r="Q19" s="6" t="s">
        <v>26</v>
      </c>
    </row>
    <row r="20">
      <c r="A20" s="5">
        <v>46094.35212056713</v>
      </c>
      <c r="B20" s="6" t="s">
        <v>158</v>
      </c>
      <c r="C20" s="6" t="s">
        <v>159</v>
      </c>
      <c r="D20" s="6" t="s">
        <v>160</v>
      </c>
      <c r="E20" s="6" t="s">
        <v>161</v>
      </c>
      <c r="F20" s="7">
        <v>46387.0</v>
      </c>
      <c r="G20" s="6" t="s">
        <v>62</v>
      </c>
      <c r="H20" s="6" t="s">
        <v>162</v>
      </c>
      <c r="I20" s="12" t="s">
        <v>163</v>
      </c>
      <c r="J20" s="6" t="s">
        <v>49</v>
      </c>
      <c r="K20" s="6" t="s">
        <v>24</v>
      </c>
      <c r="L20" s="10" t="s">
        <v>164</v>
      </c>
      <c r="M20" s="9"/>
      <c r="N20" s="6" t="b">
        <v>1</v>
      </c>
      <c r="O20" s="6" t="b">
        <v>1</v>
      </c>
      <c r="P20" s="9" t="str">
        <f>IFERROR(__xludf.DUMMYFUNCTION("SPARKLINE(COUNTIF(N20:O20,TRUE),{""charttype"",""bar"";""max"",2;""color1"",IF(COUNTIF(N20:O20, TRUE)=2, ""green"", ""yellow"")})"),"")</f>
        <v/>
      </c>
      <c r="Q20" s="6" t="s">
        <v>26</v>
      </c>
    </row>
    <row r="21">
      <c r="A21" s="5">
        <v>46094.38923487268</v>
      </c>
      <c r="B21" s="6" t="s">
        <v>165</v>
      </c>
      <c r="C21" s="6" t="s">
        <v>166</v>
      </c>
      <c r="D21" s="6" t="s">
        <v>167</v>
      </c>
      <c r="E21" s="6" t="s">
        <v>168</v>
      </c>
      <c r="F21" s="7">
        <v>46387.0</v>
      </c>
      <c r="G21" s="6" t="s">
        <v>62</v>
      </c>
      <c r="H21" s="6" t="s">
        <v>169</v>
      </c>
      <c r="I21" s="12" t="s">
        <v>170</v>
      </c>
      <c r="J21" s="6" t="s">
        <v>49</v>
      </c>
      <c r="K21" s="6" t="s">
        <v>24</v>
      </c>
      <c r="L21" s="10" t="s">
        <v>171</v>
      </c>
      <c r="M21" s="9"/>
      <c r="N21" s="6" t="b">
        <v>1</v>
      </c>
      <c r="O21" s="6" t="b">
        <v>1</v>
      </c>
      <c r="P21" s="9" t="str">
        <f>IFERROR(__xludf.DUMMYFUNCTION("SPARKLINE(COUNTIF(N21:O21,TRUE),{""charttype"",""bar"";""max"",2;""color1"",IF(COUNTIF(N21:O21, TRUE)=2, ""green"", ""yellow"")})"),"")</f>
        <v/>
      </c>
      <c r="Q21" s="6" t="s">
        <v>26</v>
      </c>
    </row>
    <row r="22">
      <c r="A22" s="5">
        <v>46094.39303773148</v>
      </c>
      <c r="B22" s="6" t="s">
        <v>172</v>
      </c>
      <c r="C22" s="6" t="s">
        <v>173</v>
      </c>
      <c r="D22" s="6" t="s">
        <v>174</v>
      </c>
      <c r="E22" s="6" t="s">
        <v>175</v>
      </c>
      <c r="F22" s="7">
        <v>46387.0</v>
      </c>
      <c r="G22" s="6" t="s">
        <v>62</v>
      </c>
      <c r="H22" s="6" t="s">
        <v>176</v>
      </c>
      <c r="I22" s="12" t="s">
        <v>177</v>
      </c>
      <c r="J22" s="6" t="s">
        <v>49</v>
      </c>
      <c r="K22" s="6" t="s">
        <v>24</v>
      </c>
      <c r="L22" s="10" t="s">
        <v>178</v>
      </c>
      <c r="M22" s="9"/>
      <c r="N22" s="6" t="b">
        <v>1</v>
      </c>
      <c r="O22" s="6" t="b">
        <v>1</v>
      </c>
      <c r="P22" s="9" t="str">
        <f>IFERROR(__xludf.DUMMYFUNCTION("SPARKLINE(COUNTIF(N22:O22,TRUE),{""charttype"",""bar"";""max"",2;""color1"",IF(COUNTIF(N22:O22, TRUE)=2, ""green"", ""yellow"")})"),"")</f>
        <v/>
      </c>
      <c r="Q22" s="6" t="s">
        <v>26</v>
      </c>
    </row>
    <row r="23">
      <c r="A23" s="5">
        <v>46094.42125783565</v>
      </c>
      <c r="B23" s="6" t="s">
        <v>179</v>
      </c>
      <c r="C23" s="6" t="s">
        <v>180</v>
      </c>
      <c r="D23" s="6" t="s">
        <v>181</v>
      </c>
      <c r="E23" s="6" t="s">
        <v>182</v>
      </c>
      <c r="F23" s="7">
        <v>46752.0</v>
      </c>
      <c r="G23" s="6" t="s">
        <v>62</v>
      </c>
      <c r="H23" s="6" t="s">
        <v>183</v>
      </c>
      <c r="I23" s="12" t="s">
        <v>184</v>
      </c>
      <c r="J23" s="6" t="s">
        <v>49</v>
      </c>
      <c r="K23" s="6" t="s">
        <v>24</v>
      </c>
      <c r="L23" s="10" t="s">
        <v>185</v>
      </c>
      <c r="M23" s="9"/>
      <c r="N23" s="6" t="b">
        <v>1</v>
      </c>
      <c r="O23" s="6" t="b">
        <v>1</v>
      </c>
      <c r="P23" s="9" t="str">
        <f>IFERROR(__xludf.DUMMYFUNCTION("SPARKLINE(COUNTIF(N23:O23,TRUE),{""charttype"",""bar"";""max"",2;""color1"",IF(COUNTIF(N23:O23, TRUE)=2, ""green"", ""yellow"")})"),"")</f>
        <v/>
      </c>
      <c r="Q23" s="6" t="s">
        <v>26</v>
      </c>
    </row>
    <row r="24">
      <c r="A24" s="5">
        <v>46094.423734675926</v>
      </c>
      <c r="B24" s="6" t="s">
        <v>186</v>
      </c>
      <c r="C24" s="6" t="s">
        <v>187</v>
      </c>
      <c r="D24" s="6" t="s">
        <v>188</v>
      </c>
      <c r="E24" s="14">
        <v>9029.0</v>
      </c>
      <c r="F24" s="7">
        <v>46387.0</v>
      </c>
      <c r="G24" s="6" t="s">
        <v>189</v>
      </c>
      <c r="H24" s="6" t="s">
        <v>190</v>
      </c>
      <c r="I24" s="12" t="s">
        <v>191</v>
      </c>
      <c r="J24" s="6" t="s">
        <v>49</v>
      </c>
      <c r="K24" s="6" t="s">
        <v>24</v>
      </c>
      <c r="L24" s="10" t="s">
        <v>192</v>
      </c>
      <c r="M24" s="12" t="s">
        <v>193</v>
      </c>
      <c r="N24" s="6" t="b">
        <v>1</v>
      </c>
      <c r="O24" s="6" t="b">
        <v>1</v>
      </c>
      <c r="P24" s="9" t="str">
        <f>IFERROR(__xludf.DUMMYFUNCTION("SPARKLINE(COUNTIF(N24:O24,TRUE),{""charttype"",""bar"";""max"",2;""color1"",IF(COUNTIF(N24:O24, TRUE)=2, ""green"", ""yellow"")})"),"")</f>
        <v/>
      </c>
      <c r="Q24" s="6" t="s">
        <v>26</v>
      </c>
    </row>
    <row r="25">
      <c r="A25" s="5">
        <v>46094.432491631946</v>
      </c>
      <c r="B25" s="6" t="s">
        <v>194</v>
      </c>
      <c r="C25" s="6" t="s">
        <v>195</v>
      </c>
      <c r="D25" s="6" t="s">
        <v>196</v>
      </c>
      <c r="E25" s="14">
        <v>10876.0</v>
      </c>
      <c r="F25" s="7">
        <v>51501.0</v>
      </c>
      <c r="G25" s="6" t="s">
        <v>189</v>
      </c>
      <c r="H25" s="6" t="s">
        <v>197</v>
      </c>
      <c r="I25" s="8" t="s">
        <v>198</v>
      </c>
      <c r="J25" s="6" t="s">
        <v>49</v>
      </c>
      <c r="K25" s="6" t="s">
        <v>24</v>
      </c>
      <c r="L25" s="10" t="s">
        <v>199</v>
      </c>
      <c r="M25" s="12" t="s">
        <v>200</v>
      </c>
      <c r="N25" s="6" t="b">
        <v>1</v>
      </c>
      <c r="O25" s="6" t="b">
        <v>1</v>
      </c>
      <c r="P25" s="9" t="str">
        <f>IFERROR(__xludf.DUMMYFUNCTION("SPARKLINE(COUNTIF(N25:O25,TRUE),{""charttype"",""bar"";""max"",2;""color1"",IF(COUNTIF(N25:O25, TRUE)=2, ""green"", ""yellow"")})"),"")</f>
        <v/>
      </c>
      <c r="Q25" s="6" t="s">
        <v>26</v>
      </c>
    </row>
    <row r="26">
      <c r="A26" s="5">
        <v>46094.61905607639</v>
      </c>
      <c r="B26" s="6" t="s">
        <v>201</v>
      </c>
      <c r="C26" s="6" t="s">
        <v>202</v>
      </c>
      <c r="D26" s="6" t="s">
        <v>203</v>
      </c>
      <c r="E26" s="6" t="s">
        <v>204</v>
      </c>
      <c r="F26" s="7">
        <v>46387.0</v>
      </c>
      <c r="G26" s="6" t="s">
        <v>205</v>
      </c>
      <c r="H26" s="6" t="s">
        <v>206</v>
      </c>
      <c r="I26" s="12" t="s">
        <v>207</v>
      </c>
      <c r="J26" s="6" t="s">
        <v>49</v>
      </c>
      <c r="K26" s="6" t="s">
        <v>24</v>
      </c>
      <c r="L26" s="10" t="s">
        <v>208</v>
      </c>
      <c r="M26" s="9"/>
      <c r="N26" s="6" t="b">
        <v>0</v>
      </c>
      <c r="O26" s="6" t="b">
        <v>1</v>
      </c>
      <c r="P26" s="9" t="str">
        <f>IFERROR(__xludf.DUMMYFUNCTION("SPARKLINE(COUNTIF(N26:O26,TRUE),{""charttype"",""bar"";""max"",2;""color1"",IF(COUNTIF(N26:O26, TRUE)=2, ""green"", ""yellow"")})"),"")</f>
        <v/>
      </c>
      <c r="Q26" s="6" t="s">
        <v>26</v>
      </c>
      <c r="R26" s="13" t="s">
        <v>95</v>
      </c>
    </row>
    <row r="27">
      <c r="A27" s="5">
        <v>46094.622210625</v>
      </c>
      <c r="B27" s="6" t="s">
        <v>209</v>
      </c>
      <c r="C27" s="6" t="s">
        <v>210</v>
      </c>
      <c r="D27" s="6" t="s">
        <v>211</v>
      </c>
      <c r="E27" s="6" t="s">
        <v>212</v>
      </c>
      <c r="F27" s="7">
        <v>46387.0</v>
      </c>
      <c r="G27" s="6" t="s">
        <v>205</v>
      </c>
      <c r="H27" s="6" t="s">
        <v>213</v>
      </c>
      <c r="I27" s="12" t="s">
        <v>214</v>
      </c>
      <c r="J27" s="6" t="s">
        <v>49</v>
      </c>
      <c r="K27" s="6" t="s">
        <v>24</v>
      </c>
      <c r="L27" s="10" t="s">
        <v>215</v>
      </c>
      <c r="M27" s="9"/>
      <c r="N27" s="6" t="b">
        <v>1</v>
      </c>
      <c r="O27" s="6" t="b">
        <v>1</v>
      </c>
      <c r="P27" s="9" t="str">
        <f>IFERROR(__xludf.DUMMYFUNCTION("SPARKLINE(COUNTIF(N27:O27,TRUE),{""charttype"",""bar"";""max"",2;""color1"",IF(COUNTIF(N27:O27, TRUE)=2, ""green"", ""yellow"")})"),"")</f>
        <v/>
      </c>
      <c r="Q27" s="6" t="s">
        <v>26</v>
      </c>
    </row>
    <row r="28">
      <c r="A28" s="5">
        <v>46094.91558738426</v>
      </c>
      <c r="B28" s="6" t="s">
        <v>216</v>
      </c>
      <c r="C28" s="6" t="s">
        <v>217</v>
      </c>
      <c r="D28" s="6" t="s">
        <v>218</v>
      </c>
      <c r="E28" s="6" t="s">
        <v>219</v>
      </c>
      <c r="F28" s="7">
        <v>46656.0</v>
      </c>
      <c r="G28" s="6" t="s">
        <v>220</v>
      </c>
      <c r="H28" s="6" t="s">
        <v>221</v>
      </c>
      <c r="I28" s="12" t="s">
        <v>222</v>
      </c>
      <c r="J28" s="6" t="s">
        <v>49</v>
      </c>
      <c r="K28" s="6" t="s">
        <v>24</v>
      </c>
      <c r="L28" s="10" t="s">
        <v>223</v>
      </c>
      <c r="M28" s="9"/>
      <c r="N28" s="6" t="b">
        <v>1</v>
      </c>
      <c r="O28" s="6" t="b">
        <v>1</v>
      </c>
      <c r="P28" s="9" t="str">
        <f>IFERROR(__xludf.DUMMYFUNCTION("SPARKLINE(COUNTIF(N28:O28,TRUE),{""charttype"",""bar"";""max"",2;""color1"",IF(COUNTIF(N28:O28, TRUE)=2, ""green"", ""yellow"")})"),"")</f>
        <v/>
      </c>
      <c r="Q28" s="6" t="s">
        <v>26</v>
      </c>
    </row>
    <row r="29">
      <c r="A29" s="5">
        <v>46097.373441041666</v>
      </c>
      <c r="B29" s="6" t="s">
        <v>224</v>
      </c>
      <c r="C29" s="6" t="s">
        <v>225</v>
      </c>
      <c r="D29" s="6" t="s">
        <v>226</v>
      </c>
      <c r="E29" s="6" t="s">
        <v>227</v>
      </c>
      <c r="F29" s="7">
        <v>46387.0</v>
      </c>
      <c r="G29" s="6" t="s">
        <v>228</v>
      </c>
      <c r="H29" s="6" t="s">
        <v>229</v>
      </c>
      <c r="I29" s="8" t="s">
        <v>230</v>
      </c>
      <c r="J29" s="6" t="s">
        <v>49</v>
      </c>
      <c r="K29" s="6" t="s">
        <v>24</v>
      </c>
      <c r="L29" s="10" t="s">
        <v>231</v>
      </c>
      <c r="M29" s="9"/>
      <c r="N29" s="6" t="b">
        <v>1</v>
      </c>
      <c r="O29" s="6" t="b">
        <v>1</v>
      </c>
      <c r="P29" s="9" t="str">
        <f>IFERROR(__xludf.DUMMYFUNCTION("SPARKLINE(COUNTIF(N29:O29,TRUE),{""charttype"",""bar"";""max"",2;""color1"",IF(COUNTIF(N29:O29, TRUE)=2, ""green"", ""yellow"")})"),"")</f>
        <v/>
      </c>
      <c r="Q29" s="6" t="s">
        <v>26</v>
      </c>
    </row>
    <row r="30">
      <c r="A30" s="5">
        <v>46098.34622597222</v>
      </c>
      <c r="B30" s="6" t="s">
        <v>232</v>
      </c>
      <c r="C30" s="6" t="s">
        <v>233</v>
      </c>
      <c r="D30" s="6" t="s">
        <v>234</v>
      </c>
      <c r="E30" s="6" t="s">
        <v>235</v>
      </c>
      <c r="F30" s="7">
        <v>46387.0</v>
      </c>
      <c r="G30" s="6" t="s">
        <v>236</v>
      </c>
      <c r="H30" s="6" t="s">
        <v>237</v>
      </c>
      <c r="I30" s="12" t="s">
        <v>238</v>
      </c>
      <c r="J30" s="6" t="s">
        <v>49</v>
      </c>
      <c r="K30" s="6" t="s">
        <v>24</v>
      </c>
      <c r="L30" s="10" t="s">
        <v>239</v>
      </c>
      <c r="M30" s="9"/>
      <c r="N30" s="6" t="b">
        <v>1</v>
      </c>
      <c r="O30" s="6" t="b">
        <v>1</v>
      </c>
      <c r="P30" s="9" t="str">
        <f>IFERROR(__xludf.DUMMYFUNCTION("SPARKLINE(COUNTIF(N30:O30,TRUE),{""charttype"",""bar"";""max"",2;""color1"",IF(COUNTIF(N30:O30, TRUE)=2, ""green"", ""yellow"")})"),"")</f>
        <v/>
      </c>
      <c r="Q30" s="6" t="s">
        <v>26</v>
      </c>
    </row>
    <row r="31">
      <c r="A31" s="5">
        <v>46098.39331622685</v>
      </c>
      <c r="B31" s="6" t="s">
        <v>240</v>
      </c>
      <c r="C31" s="6" t="s">
        <v>241</v>
      </c>
      <c r="D31" s="6" t="s">
        <v>242</v>
      </c>
      <c r="E31" s="6" t="s">
        <v>243</v>
      </c>
      <c r="F31" s="7">
        <v>46387.0</v>
      </c>
      <c r="G31" s="6" t="s">
        <v>228</v>
      </c>
      <c r="H31" s="6" t="s">
        <v>244</v>
      </c>
      <c r="I31" s="12" t="s">
        <v>245</v>
      </c>
      <c r="J31" s="6" t="s">
        <v>49</v>
      </c>
      <c r="K31" s="6" t="s">
        <v>24</v>
      </c>
      <c r="L31" s="10" t="s">
        <v>246</v>
      </c>
      <c r="M31" s="9"/>
      <c r="N31" s="6" t="b">
        <v>1</v>
      </c>
      <c r="O31" s="6" t="b">
        <v>1</v>
      </c>
      <c r="P31" s="9" t="str">
        <f>IFERROR(__xludf.DUMMYFUNCTION("SPARKLINE(COUNTIF(N31:O31,TRUE),{""charttype"",""bar"";""max"",2;""color1"",IF(COUNTIF(N31:O31, TRUE)=2, ""green"", ""yellow"")})"),"")</f>
        <v/>
      </c>
      <c r="Q31" s="6" t="s">
        <v>26</v>
      </c>
    </row>
    <row r="32">
      <c r="A32" s="5">
        <v>46099.49522199074</v>
      </c>
      <c r="B32" s="6" t="s">
        <v>247</v>
      </c>
      <c r="C32" s="6" t="s">
        <v>248</v>
      </c>
      <c r="D32" s="6" t="s">
        <v>249</v>
      </c>
      <c r="E32" s="6" t="s">
        <v>250</v>
      </c>
      <c r="F32" s="7">
        <v>46387.0</v>
      </c>
      <c r="G32" s="6" t="s">
        <v>251</v>
      </c>
      <c r="H32" s="6" t="s">
        <v>252</v>
      </c>
      <c r="I32" s="12" t="s">
        <v>253</v>
      </c>
      <c r="J32" s="6" t="s">
        <v>49</v>
      </c>
      <c r="K32" s="6" t="s">
        <v>24</v>
      </c>
      <c r="L32" s="10" t="s">
        <v>254</v>
      </c>
      <c r="M32" s="9"/>
      <c r="N32" s="6" t="b">
        <v>1</v>
      </c>
      <c r="O32" s="6" t="b">
        <v>1</v>
      </c>
      <c r="P32" s="9" t="str">
        <f>IFERROR(__xludf.DUMMYFUNCTION("SPARKLINE(COUNTIF(N32:O32,TRUE),{""charttype"",""bar"";""max"",2;""color1"",IF(COUNTIF(N32:O32, TRUE)=2, ""green"", ""yellow"")})"),"")</f>
        <v/>
      </c>
      <c r="Q32" s="6" t="s">
        <v>26</v>
      </c>
    </row>
    <row r="33">
      <c r="A33" s="5">
        <v>46099.501756157406</v>
      </c>
      <c r="B33" s="6" t="s">
        <v>255</v>
      </c>
      <c r="C33" s="6" t="s">
        <v>256</v>
      </c>
      <c r="D33" s="6" t="s">
        <v>257</v>
      </c>
      <c r="E33" s="6" t="s">
        <v>258</v>
      </c>
      <c r="F33" s="7">
        <v>46387.0</v>
      </c>
      <c r="G33" s="6" t="s">
        <v>251</v>
      </c>
      <c r="H33" s="6" t="s">
        <v>259</v>
      </c>
      <c r="I33" s="12" t="s">
        <v>260</v>
      </c>
      <c r="J33" s="6" t="s">
        <v>49</v>
      </c>
      <c r="K33" s="6" t="s">
        <v>24</v>
      </c>
      <c r="L33" s="10" t="s">
        <v>261</v>
      </c>
      <c r="M33" s="9"/>
      <c r="N33" s="6" t="b">
        <v>1</v>
      </c>
      <c r="O33" s="6" t="b">
        <v>1</v>
      </c>
      <c r="P33" s="9" t="str">
        <f>IFERROR(__xludf.DUMMYFUNCTION("SPARKLINE(COUNTIF(N33:O33,TRUE),{""charttype"",""bar"";""max"",2;""color1"",IF(COUNTIF(N33:O33, TRUE)=2, ""green"", ""yellow"")})"),"")</f>
        <v/>
      </c>
      <c r="Q33" s="6" t="s">
        <v>26</v>
      </c>
    </row>
    <row r="34">
      <c r="A34" s="5">
        <v>46099.67721335648</v>
      </c>
      <c r="B34" s="6" t="s">
        <v>262</v>
      </c>
      <c r="C34" s="6" t="s">
        <v>263</v>
      </c>
      <c r="D34" s="6" t="s">
        <v>264</v>
      </c>
      <c r="E34" s="6" t="s">
        <v>265</v>
      </c>
      <c r="F34" s="7">
        <v>47483.0</v>
      </c>
      <c r="G34" s="6" t="s">
        <v>236</v>
      </c>
      <c r="H34" s="6" t="s">
        <v>266</v>
      </c>
      <c r="I34" s="12" t="s">
        <v>267</v>
      </c>
      <c r="J34" s="6" t="s">
        <v>49</v>
      </c>
      <c r="K34" s="6" t="s">
        <v>24</v>
      </c>
      <c r="L34" s="10" t="s">
        <v>268</v>
      </c>
      <c r="M34" s="9"/>
      <c r="N34" s="6" t="b">
        <v>1</v>
      </c>
      <c r="O34" s="6" t="b">
        <v>1</v>
      </c>
      <c r="P34" s="9" t="str">
        <f>IFERROR(__xludf.DUMMYFUNCTION("SPARKLINE(COUNTIF(N34:O34,TRUE),{""charttype"",""bar"";""max"",2;""color1"",IF(COUNTIF(N34:O34, TRUE)=2, ""green"", ""yellow"")})"),"")</f>
        <v/>
      </c>
      <c r="Q34" s="6" t="s">
        <v>26</v>
      </c>
    </row>
    <row r="35">
      <c r="A35" s="5">
        <v>46100.44274853009</v>
      </c>
      <c r="B35" s="6" t="s">
        <v>269</v>
      </c>
      <c r="C35" s="6" t="s">
        <v>270</v>
      </c>
      <c r="D35" s="6" t="s">
        <v>271</v>
      </c>
      <c r="E35" s="6" t="s">
        <v>272</v>
      </c>
      <c r="F35" s="7">
        <v>46387.0</v>
      </c>
      <c r="G35" s="6" t="s">
        <v>273</v>
      </c>
      <c r="H35" s="6" t="s">
        <v>274</v>
      </c>
      <c r="I35" s="12" t="s">
        <v>275</v>
      </c>
      <c r="J35" s="6" t="s">
        <v>49</v>
      </c>
      <c r="K35" s="6" t="s">
        <v>24</v>
      </c>
      <c r="L35" s="10" t="s">
        <v>276</v>
      </c>
      <c r="M35" s="9"/>
      <c r="N35" s="6" t="b">
        <v>1</v>
      </c>
      <c r="O35" s="6" t="b">
        <v>1</v>
      </c>
      <c r="P35" s="9" t="str">
        <f>IFERROR(__xludf.DUMMYFUNCTION("SPARKLINE(COUNTIF(N35:O35,TRUE),{""charttype"",""bar"";""max"",2;""color1"",IF(COUNTIF(N35:O35, TRUE)=2, ""green"", ""yellow"")})"),"")</f>
        <v/>
      </c>
      <c r="Q35" s="6" t="s">
        <v>26</v>
      </c>
    </row>
    <row r="36">
      <c r="A36" s="5">
        <v>46100.46749778935</v>
      </c>
      <c r="B36" s="6" t="s">
        <v>277</v>
      </c>
      <c r="C36" s="9"/>
      <c r="D36" s="6" t="s">
        <v>278</v>
      </c>
      <c r="E36" s="6" t="s">
        <v>279</v>
      </c>
      <c r="F36" s="7">
        <v>46387.0</v>
      </c>
      <c r="G36" s="6" t="s">
        <v>273</v>
      </c>
      <c r="H36" s="6" t="s">
        <v>280</v>
      </c>
      <c r="I36" s="12" t="s">
        <v>281</v>
      </c>
      <c r="J36" s="6" t="s">
        <v>49</v>
      </c>
      <c r="K36" s="6" t="s">
        <v>24</v>
      </c>
      <c r="L36" s="10" t="s">
        <v>282</v>
      </c>
      <c r="M36" s="9"/>
      <c r="N36" s="6" t="b">
        <v>1</v>
      </c>
      <c r="O36" s="6" t="b">
        <v>1</v>
      </c>
      <c r="P36" s="9" t="str">
        <f>IFERROR(__xludf.DUMMYFUNCTION("SPARKLINE(COUNTIF(N36:O36,TRUE),{""charttype"",""bar"";""max"",2;""color1"",IF(COUNTIF(N36:O36, TRUE)=2, ""green"", ""yellow"")})"),"")</f>
        <v/>
      </c>
      <c r="Q36" s="6" t="s">
        <v>26</v>
      </c>
    </row>
    <row r="37">
      <c r="A37" s="5">
        <v>46100.47518168981</v>
      </c>
      <c r="B37" s="6" t="s">
        <v>283</v>
      </c>
      <c r="C37" s="6" t="s">
        <v>284</v>
      </c>
      <c r="D37" s="6" t="s">
        <v>285</v>
      </c>
      <c r="E37" s="6" t="s">
        <v>286</v>
      </c>
      <c r="F37" s="7">
        <v>46387.0</v>
      </c>
      <c r="G37" s="6" t="s">
        <v>273</v>
      </c>
      <c r="H37" s="6" t="s">
        <v>287</v>
      </c>
      <c r="I37" s="12" t="s">
        <v>288</v>
      </c>
      <c r="J37" s="6" t="s">
        <v>49</v>
      </c>
      <c r="K37" s="6" t="s">
        <v>24</v>
      </c>
      <c r="L37" s="10" t="s">
        <v>289</v>
      </c>
      <c r="M37" s="12" t="s">
        <v>290</v>
      </c>
      <c r="N37" s="6" t="b">
        <v>1</v>
      </c>
      <c r="O37" s="6" t="b">
        <v>1</v>
      </c>
      <c r="P37" s="9" t="str">
        <f>IFERROR(__xludf.DUMMYFUNCTION("SPARKLINE(COUNTIF(N37:O37,TRUE),{""charttype"",""bar"";""max"",2;""color1"",IF(COUNTIF(N37:O37, TRUE)=2, ""green"", ""yellow"")})"),"")</f>
        <v/>
      </c>
      <c r="Q37" s="6" t="s">
        <v>26</v>
      </c>
    </row>
    <row r="38">
      <c r="A38" s="5">
        <v>46100.572329409726</v>
      </c>
      <c r="B38" s="6" t="s">
        <v>291</v>
      </c>
      <c r="C38" s="6" t="s">
        <v>292</v>
      </c>
      <c r="D38" s="6" t="s">
        <v>293</v>
      </c>
      <c r="E38" s="6" t="s">
        <v>294</v>
      </c>
      <c r="F38" s="7">
        <v>46387.0</v>
      </c>
      <c r="G38" s="6" t="s">
        <v>236</v>
      </c>
      <c r="H38" s="6" t="s">
        <v>295</v>
      </c>
      <c r="I38" s="12" t="s">
        <v>296</v>
      </c>
      <c r="J38" s="6" t="s">
        <v>49</v>
      </c>
      <c r="K38" s="6" t="s">
        <v>24</v>
      </c>
      <c r="L38" s="10" t="s">
        <v>297</v>
      </c>
      <c r="M38" s="9"/>
      <c r="N38" s="6" t="b">
        <v>1</v>
      </c>
      <c r="O38" s="6" t="b">
        <v>1</v>
      </c>
      <c r="P38" s="9" t="str">
        <f>IFERROR(__xludf.DUMMYFUNCTION("SPARKLINE(COUNTIF(N38:O38,TRUE),{""charttype"",""bar"";""max"",2;""color1"",IF(COUNTIF(N38:O38, TRUE)=2, ""green"", ""yellow"")})"),"")</f>
        <v/>
      </c>
      <c r="Q38" s="6" t="s">
        <v>26</v>
      </c>
    </row>
    <row r="39">
      <c r="A39" s="5">
        <v>46101.53187909722</v>
      </c>
      <c r="B39" s="6" t="s">
        <v>298</v>
      </c>
      <c r="C39" s="6" t="s">
        <v>299</v>
      </c>
      <c r="D39" s="6" t="s">
        <v>300</v>
      </c>
      <c r="E39" s="6" t="s">
        <v>301</v>
      </c>
      <c r="F39" s="7">
        <v>47107.0</v>
      </c>
      <c r="G39" s="6" t="s">
        <v>31</v>
      </c>
      <c r="H39" s="6" t="s">
        <v>302</v>
      </c>
      <c r="I39" s="12" t="s">
        <v>303</v>
      </c>
      <c r="J39" s="6" t="s">
        <v>49</v>
      </c>
      <c r="K39" s="6" t="s">
        <v>24</v>
      </c>
      <c r="L39" s="10" t="s">
        <v>304</v>
      </c>
      <c r="M39" s="9"/>
      <c r="N39" s="6" t="b">
        <v>0</v>
      </c>
      <c r="O39" s="6" t="b">
        <v>1</v>
      </c>
      <c r="P39" s="9" t="str">
        <f>IFERROR(__xludf.DUMMYFUNCTION("SPARKLINE(COUNTIF(N39:O39,TRUE),{""charttype"",""bar"";""max"",2;""color1"",IF(COUNTIF(N39:O39, TRUE)=2, ""green"", ""yellow"")})"),"")</f>
        <v/>
      </c>
      <c r="Q39" s="6" t="s">
        <v>26</v>
      </c>
      <c r="R39" s="13" t="s">
        <v>95</v>
      </c>
    </row>
    <row r="40">
      <c r="A40" s="5">
        <v>46101.55524042824</v>
      </c>
      <c r="B40" s="6" t="s">
        <v>305</v>
      </c>
      <c r="C40" s="6" t="s">
        <v>306</v>
      </c>
      <c r="D40" s="6" t="s">
        <v>307</v>
      </c>
      <c r="E40" s="6" t="s">
        <v>308</v>
      </c>
      <c r="F40" s="7">
        <v>46295.0</v>
      </c>
      <c r="G40" s="6" t="s">
        <v>31</v>
      </c>
      <c r="H40" s="6" t="s">
        <v>309</v>
      </c>
      <c r="I40" s="12" t="s">
        <v>310</v>
      </c>
      <c r="J40" s="6" t="s">
        <v>49</v>
      </c>
      <c r="K40" s="6" t="s">
        <v>24</v>
      </c>
      <c r="L40" s="10" t="s">
        <v>311</v>
      </c>
      <c r="M40" s="9"/>
      <c r="N40" s="6" t="b">
        <v>1</v>
      </c>
      <c r="O40" s="6" t="b">
        <v>1</v>
      </c>
      <c r="P40" s="9" t="str">
        <f>IFERROR(__xludf.DUMMYFUNCTION("SPARKLINE(COUNTIF(N40:O40,TRUE),{""charttype"",""bar"";""max"",2;""color1"",IF(COUNTIF(N40:O40, TRUE)=2, ""green"", ""yellow"")})"),"")</f>
        <v/>
      </c>
      <c r="Q40" s="6" t="s">
        <v>26</v>
      </c>
    </row>
    <row r="41">
      <c r="A41" s="5">
        <v>46101.69000614583</v>
      </c>
      <c r="B41" s="6" t="s">
        <v>312</v>
      </c>
      <c r="C41" s="6" t="s">
        <v>313</v>
      </c>
      <c r="D41" s="6" t="s">
        <v>314</v>
      </c>
      <c r="E41" s="6" t="s">
        <v>315</v>
      </c>
      <c r="F41" s="7">
        <v>48211.0</v>
      </c>
      <c r="G41" s="6" t="s">
        <v>31</v>
      </c>
      <c r="H41" s="6" t="s">
        <v>316</v>
      </c>
      <c r="I41" s="12" t="s">
        <v>317</v>
      </c>
      <c r="J41" s="6" t="s">
        <v>49</v>
      </c>
      <c r="K41" s="6" t="s">
        <v>24</v>
      </c>
      <c r="L41" s="10" t="s">
        <v>318</v>
      </c>
      <c r="M41" s="9"/>
      <c r="N41" s="6" t="b">
        <v>1</v>
      </c>
      <c r="O41" s="6" t="b">
        <v>1</v>
      </c>
      <c r="P41" s="9" t="str">
        <f>IFERROR(__xludf.DUMMYFUNCTION("SPARKLINE(COUNTIF(N41:O41,TRUE),{""charttype"",""bar"";""max"",2;""color1"",IF(COUNTIF(N41:O41, TRUE)=2, ""green"", ""yellow"")})"),"")</f>
        <v/>
      </c>
      <c r="Q41" s="6" t="s">
        <v>26</v>
      </c>
    </row>
    <row r="42">
      <c r="A42" s="5">
        <v>46102.62817181713</v>
      </c>
      <c r="B42" s="6" t="s">
        <v>319</v>
      </c>
      <c r="C42" s="6" t="s">
        <v>320</v>
      </c>
      <c r="D42" s="6" t="s">
        <v>321</v>
      </c>
      <c r="E42" s="6" t="s">
        <v>322</v>
      </c>
      <c r="F42" s="7">
        <v>47118.0</v>
      </c>
      <c r="G42" s="6" t="s">
        <v>189</v>
      </c>
      <c r="H42" s="6" t="s">
        <v>323</v>
      </c>
      <c r="I42" s="12" t="s">
        <v>324</v>
      </c>
      <c r="J42" s="6" t="s">
        <v>49</v>
      </c>
      <c r="K42" s="6" t="s">
        <v>24</v>
      </c>
      <c r="L42" s="10" t="s">
        <v>325</v>
      </c>
      <c r="M42" s="9"/>
      <c r="N42" s="6" t="b">
        <v>1</v>
      </c>
      <c r="O42" s="6" t="b">
        <v>1</v>
      </c>
      <c r="P42" s="9" t="str">
        <f>IFERROR(__xludf.DUMMYFUNCTION("SPARKLINE(COUNTIF(N42:O42,TRUE),{""charttype"",""bar"";""max"",2;""color1"",IF(COUNTIF(N42:O42, TRUE)=2, ""green"", ""yellow"")})"),"")</f>
        <v/>
      </c>
      <c r="Q42" s="6" t="s">
        <v>26</v>
      </c>
    </row>
    <row r="43">
      <c r="A43" s="5">
        <v>46104.7557237037</v>
      </c>
      <c r="B43" s="6" t="s">
        <v>326</v>
      </c>
      <c r="C43" s="6" t="s">
        <v>327</v>
      </c>
      <c r="D43" s="6" t="s">
        <v>328</v>
      </c>
      <c r="E43" s="6" t="s">
        <v>329</v>
      </c>
      <c r="F43" s="7">
        <v>46387.0</v>
      </c>
      <c r="G43" s="6" t="s">
        <v>236</v>
      </c>
      <c r="H43" s="6" t="s">
        <v>330</v>
      </c>
      <c r="I43" s="8" t="s">
        <v>331</v>
      </c>
      <c r="J43" s="6" t="s">
        <v>49</v>
      </c>
      <c r="K43" s="6" t="s">
        <v>24</v>
      </c>
      <c r="L43" s="10" t="s">
        <v>332</v>
      </c>
      <c r="M43" s="9"/>
      <c r="N43" s="6" t="b">
        <v>1</v>
      </c>
      <c r="O43" s="6" t="b">
        <v>1</v>
      </c>
      <c r="P43" s="9" t="str">
        <f>IFERROR(__xludf.DUMMYFUNCTION("SPARKLINE(COUNTIF(N43:O43,TRUE),{""charttype"",""bar"";""max"",2;""color1"",IF(COUNTIF(N43:O43, TRUE)=2, ""green"", ""yellow"")})"),"")</f>
        <v/>
      </c>
      <c r="Q43" s="6" t="s">
        <v>26</v>
      </c>
    </row>
    <row r="44">
      <c r="A44" s="5">
        <v>46104.76749542824</v>
      </c>
      <c r="B44" s="6" t="s">
        <v>333</v>
      </c>
      <c r="C44" s="6" t="s">
        <v>334</v>
      </c>
      <c r="D44" s="6" t="s">
        <v>335</v>
      </c>
      <c r="E44" s="6" t="s">
        <v>336</v>
      </c>
      <c r="F44" s="7">
        <v>46387.0</v>
      </c>
      <c r="G44" s="6" t="s">
        <v>236</v>
      </c>
      <c r="H44" s="6" t="s">
        <v>337</v>
      </c>
      <c r="I44" s="8" t="s">
        <v>338</v>
      </c>
      <c r="J44" s="6" t="s">
        <v>49</v>
      </c>
      <c r="K44" s="6" t="s">
        <v>24</v>
      </c>
      <c r="L44" s="10" t="s">
        <v>339</v>
      </c>
      <c r="M44" s="9"/>
      <c r="N44" s="6" t="b">
        <v>1</v>
      </c>
      <c r="O44" s="6" t="b">
        <v>1</v>
      </c>
      <c r="P44" s="9" t="str">
        <f>IFERROR(__xludf.DUMMYFUNCTION("SPARKLINE(COUNTIF(N44:O44,TRUE),{""charttype"",""bar"";""max"",2;""color1"",IF(COUNTIF(N44:O44, TRUE)=2, ""green"", ""yellow"")})"),"")</f>
        <v/>
      </c>
      <c r="Q44" s="6" t="s">
        <v>26</v>
      </c>
    </row>
    <row r="45">
      <c r="A45" s="5">
        <v>46105.327548553236</v>
      </c>
      <c r="B45" s="6" t="s">
        <v>340</v>
      </c>
      <c r="C45" s="6" t="s">
        <v>341</v>
      </c>
      <c r="D45" s="6" t="s">
        <v>342</v>
      </c>
      <c r="E45" s="6" t="s">
        <v>343</v>
      </c>
      <c r="F45" s="7">
        <v>46387.0</v>
      </c>
      <c r="G45" s="6" t="s">
        <v>91</v>
      </c>
      <c r="H45" s="6" t="s">
        <v>344</v>
      </c>
      <c r="I45" s="8" t="s">
        <v>345</v>
      </c>
      <c r="J45" s="6" t="s">
        <v>49</v>
      </c>
      <c r="K45" s="6" t="s">
        <v>24</v>
      </c>
      <c r="L45" s="10" t="s">
        <v>346</v>
      </c>
      <c r="M45" s="12" t="s">
        <v>347</v>
      </c>
      <c r="N45" s="6" t="b">
        <v>1</v>
      </c>
      <c r="O45" s="6" t="b">
        <v>1</v>
      </c>
      <c r="P45" s="9" t="str">
        <f>IFERROR(__xludf.DUMMYFUNCTION("SPARKLINE(COUNTIF(N45:O45,TRUE),{""charttype"",""bar"";""max"",2;""color1"",IF(COUNTIF(N45:O45, TRUE)=2, ""green"", ""yellow"")})"),"")</f>
        <v/>
      </c>
      <c r="Q45" s="6" t="s">
        <v>26</v>
      </c>
    </row>
    <row r="46">
      <c r="A46" s="5">
        <v>46105.447506805554</v>
      </c>
      <c r="B46" s="6" t="s">
        <v>348</v>
      </c>
      <c r="C46" s="6" t="s">
        <v>349</v>
      </c>
      <c r="D46" s="6" t="s">
        <v>350</v>
      </c>
      <c r="E46" s="6" t="s">
        <v>351</v>
      </c>
      <c r="F46" s="7">
        <v>46387.0</v>
      </c>
      <c r="G46" s="6" t="s">
        <v>228</v>
      </c>
      <c r="H46" s="6" t="s">
        <v>352</v>
      </c>
      <c r="I46" s="12" t="s">
        <v>353</v>
      </c>
      <c r="J46" s="6" t="s">
        <v>49</v>
      </c>
      <c r="K46" s="6" t="s">
        <v>24</v>
      </c>
      <c r="L46" s="6" t="s">
        <v>354</v>
      </c>
      <c r="M46" s="9"/>
      <c r="N46" s="6" t="b">
        <v>1</v>
      </c>
      <c r="O46" s="6" t="b">
        <v>1</v>
      </c>
      <c r="P46" s="9" t="str">
        <f>IFERROR(__xludf.DUMMYFUNCTION("SPARKLINE(COUNTIF(N46:O46,TRUE),{""charttype"",""bar"";""max"",2;""color1"",IF(COUNTIF(N46:O46, TRUE)=2, ""green"", ""yellow"")})"),"")</f>
        <v/>
      </c>
      <c r="Q46" s="6" t="s">
        <v>26</v>
      </c>
    </row>
    <row r="47">
      <c r="A47" s="5">
        <v>46105.835988900464</v>
      </c>
      <c r="B47" s="6" t="s">
        <v>355</v>
      </c>
      <c r="C47" s="6" t="s">
        <v>356</v>
      </c>
      <c r="D47" s="6" t="s">
        <v>357</v>
      </c>
      <c r="E47" s="6" t="s">
        <v>358</v>
      </c>
      <c r="F47" s="7">
        <v>46745.0</v>
      </c>
      <c r="G47" s="6" t="s">
        <v>189</v>
      </c>
      <c r="H47" s="6" t="s">
        <v>359</v>
      </c>
      <c r="I47" s="12" t="s">
        <v>360</v>
      </c>
      <c r="J47" s="6" t="s">
        <v>49</v>
      </c>
      <c r="K47" s="6" t="s">
        <v>24</v>
      </c>
      <c r="L47" s="10" t="s">
        <v>361</v>
      </c>
      <c r="M47" s="9"/>
      <c r="N47" s="6" t="b">
        <v>1</v>
      </c>
      <c r="O47" s="6" t="b">
        <v>1</v>
      </c>
      <c r="P47" s="9" t="str">
        <f>IFERROR(__xludf.DUMMYFUNCTION("SPARKLINE(COUNTIF(N47:O47,TRUE),{""charttype"",""bar"";""max"",2;""color1"",IF(COUNTIF(N47:O47, TRUE)=2, ""green"", ""yellow"")})"),"")</f>
        <v/>
      </c>
      <c r="Q47" s="6" t="s">
        <v>26</v>
      </c>
    </row>
    <row r="48">
      <c r="A48" s="5">
        <v>46106.32292851852</v>
      </c>
      <c r="B48" s="6" t="s">
        <v>362</v>
      </c>
      <c r="C48" s="6" t="s">
        <v>363</v>
      </c>
      <c r="D48" s="6" t="s">
        <v>364</v>
      </c>
      <c r="E48" s="6" t="s">
        <v>365</v>
      </c>
      <c r="F48" s="7">
        <v>47026.0</v>
      </c>
      <c r="G48" s="6" t="s">
        <v>91</v>
      </c>
      <c r="H48" s="6" t="s">
        <v>366</v>
      </c>
      <c r="I48" s="12" t="s">
        <v>367</v>
      </c>
      <c r="J48" s="6" t="s">
        <v>49</v>
      </c>
      <c r="K48" s="6" t="s">
        <v>24</v>
      </c>
      <c r="L48" s="10" t="s">
        <v>368</v>
      </c>
      <c r="M48" s="9"/>
      <c r="N48" s="6" t="b">
        <v>0</v>
      </c>
      <c r="O48" s="6" t="b">
        <v>1</v>
      </c>
      <c r="P48" s="9" t="str">
        <f>IFERROR(__xludf.DUMMYFUNCTION("SPARKLINE(COUNTIF(N48:O48,TRUE),{""charttype"",""bar"";""max"",2;""color1"",IF(COUNTIF(N48:O48, TRUE)=2, ""green"", ""yellow"")})"),"")</f>
        <v/>
      </c>
      <c r="Q48" s="6" t="s">
        <v>26</v>
      </c>
      <c r="R48" s="13" t="s">
        <v>95</v>
      </c>
    </row>
    <row r="49">
      <c r="A49" s="5">
        <v>46106.452707476856</v>
      </c>
      <c r="B49" s="6" t="s">
        <v>369</v>
      </c>
      <c r="C49" s="6" t="s">
        <v>370</v>
      </c>
      <c r="D49" s="6" t="s">
        <v>371</v>
      </c>
      <c r="E49" s="6" t="s">
        <v>372</v>
      </c>
      <c r="F49" s="7">
        <v>47118.0</v>
      </c>
      <c r="G49" s="6" t="s">
        <v>31</v>
      </c>
      <c r="H49" s="6" t="s">
        <v>373</v>
      </c>
      <c r="I49" s="12" t="s">
        <v>374</v>
      </c>
      <c r="J49" s="6" t="s">
        <v>49</v>
      </c>
      <c r="K49" s="6" t="s">
        <v>24</v>
      </c>
      <c r="L49" s="10" t="s">
        <v>375</v>
      </c>
      <c r="M49" s="9"/>
      <c r="N49" s="6" t="b">
        <v>1</v>
      </c>
      <c r="O49" s="6" t="b">
        <v>1</v>
      </c>
      <c r="P49" s="9" t="str">
        <f>IFERROR(__xludf.DUMMYFUNCTION("SPARKLINE(COUNTIF(N49:O49,TRUE),{""charttype"",""bar"";""max"",2;""color1"",IF(COUNTIF(N49:O49, TRUE)=2, ""green"", ""yellow"")})"),"")</f>
        <v/>
      </c>
      <c r="Q49" s="6" t="s">
        <v>26</v>
      </c>
    </row>
    <row r="50">
      <c r="A50" s="5">
        <v>46106.44273416667</v>
      </c>
      <c r="B50" s="6" t="s">
        <v>376</v>
      </c>
      <c r="C50" s="6" t="s">
        <v>377</v>
      </c>
      <c r="D50" s="6" t="s">
        <v>378</v>
      </c>
      <c r="E50" s="6" t="s">
        <v>379</v>
      </c>
      <c r="F50" s="7">
        <v>46387.0</v>
      </c>
      <c r="G50" s="6" t="s">
        <v>91</v>
      </c>
      <c r="H50" s="6" t="s">
        <v>380</v>
      </c>
      <c r="I50" s="12" t="s">
        <v>381</v>
      </c>
      <c r="J50" s="6" t="s">
        <v>49</v>
      </c>
      <c r="K50" s="6" t="s">
        <v>24</v>
      </c>
      <c r="L50" s="10" t="s">
        <v>382</v>
      </c>
      <c r="M50" s="9"/>
      <c r="N50" s="6" t="b">
        <v>1</v>
      </c>
      <c r="O50" s="6" t="b">
        <v>1</v>
      </c>
      <c r="P50" s="9" t="str">
        <f>IFERROR(__xludf.DUMMYFUNCTION("SPARKLINE(COUNTIF(N50:O50,TRUE),{""charttype"",""bar"";""max"",2;""color1"",IF(COUNTIF(N50:O50, TRUE)=2, ""green"", ""yellow"")})"),"")</f>
        <v/>
      </c>
      <c r="Q50" s="6" t="s">
        <v>26</v>
      </c>
    </row>
    <row r="51">
      <c r="A51" s="5">
        <v>46106.610247233795</v>
      </c>
      <c r="B51" s="6" t="s">
        <v>383</v>
      </c>
      <c r="C51" s="6" t="s">
        <v>384</v>
      </c>
      <c r="D51" s="6" t="s">
        <v>385</v>
      </c>
      <c r="E51" s="6" t="s">
        <v>386</v>
      </c>
      <c r="F51" s="7">
        <v>46752.0</v>
      </c>
      <c r="G51" s="6" t="s">
        <v>115</v>
      </c>
      <c r="H51" s="6" t="s">
        <v>387</v>
      </c>
      <c r="I51" s="12" t="s">
        <v>388</v>
      </c>
      <c r="J51" s="6" t="s">
        <v>49</v>
      </c>
      <c r="K51" s="6" t="s">
        <v>24</v>
      </c>
      <c r="L51" s="10" t="s">
        <v>389</v>
      </c>
      <c r="M51" s="9"/>
      <c r="N51" s="6" t="b">
        <v>1</v>
      </c>
      <c r="O51" s="6" t="b">
        <v>1</v>
      </c>
      <c r="P51" s="9" t="str">
        <f>IFERROR(__xludf.DUMMYFUNCTION("SPARKLINE(COUNTIF(N51:O51,TRUE),{""charttype"",""bar"";""max"",2;""color1"",IF(COUNTIF(N51:O51, TRUE)=2, ""green"", ""yellow"")})"),"")</f>
        <v/>
      </c>
      <c r="Q51" s="6" t="s">
        <v>26</v>
      </c>
    </row>
    <row r="52">
      <c r="A52" s="5">
        <v>46106.87275790509</v>
      </c>
      <c r="B52" s="6" t="s">
        <v>390</v>
      </c>
      <c r="C52" s="6" t="s">
        <v>391</v>
      </c>
      <c r="D52" s="6" t="s">
        <v>392</v>
      </c>
      <c r="E52" s="6" t="s">
        <v>393</v>
      </c>
      <c r="F52" s="7">
        <v>46660.0</v>
      </c>
      <c r="G52" s="6" t="s">
        <v>31</v>
      </c>
      <c r="H52" s="6" t="s">
        <v>394</v>
      </c>
      <c r="I52" s="12" t="s">
        <v>395</v>
      </c>
      <c r="J52" s="6" t="s">
        <v>49</v>
      </c>
      <c r="K52" s="6" t="s">
        <v>24</v>
      </c>
      <c r="L52" s="10" t="s">
        <v>396</v>
      </c>
      <c r="M52" s="9"/>
      <c r="N52" s="6" t="b">
        <v>1</v>
      </c>
      <c r="O52" s="6" t="b">
        <v>1</v>
      </c>
      <c r="P52" s="9" t="str">
        <f>IFERROR(__xludf.DUMMYFUNCTION("SPARKLINE(COUNTIF(N52:O52,TRUE),{""charttype"",""bar"";""max"",2;""color1"",IF(COUNTIF(N52:O52, TRUE)=2, ""green"", ""yellow"")})"),"")</f>
        <v/>
      </c>
      <c r="Q52" s="6" t="s">
        <v>26</v>
      </c>
    </row>
    <row r="53">
      <c r="A53" s="5">
        <v>46106.88786502315</v>
      </c>
      <c r="B53" s="6" t="s">
        <v>397</v>
      </c>
      <c r="C53" s="6" t="s">
        <v>398</v>
      </c>
      <c r="D53" s="6" t="s">
        <v>399</v>
      </c>
      <c r="E53" s="6" t="s">
        <v>400</v>
      </c>
      <c r="F53" s="7">
        <v>46387.0</v>
      </c>
      <c r="G53" s="6" t="s">
        <v>228</v>
      </c>
      <c r="H53" s="6" t="s">
        <v>401</v>
      </c>
      <c r="I53" s="12" t="s">
        <v>402</v>
      </c>
      <c r="J53" s="6" t="s">
        <v>49</v>
      </c>
      <c r="K53" s="6" t="s">
        <v>24</v>
      </c>
      <c r="L53" s="10" t="s">
        <v>403</v>
      </c>
      <c r="M53" s="9"/>
      <c r="N53" s="6" t="b">
        <v>1</v>
      </c>
      <c r="O53" s="6" t="b">
        <v>1</v>
      </c>
      <c r="P53" s="9" t="str">
        <f>IFERROR(__xludf.DUMMYFUNCTION("SPARKLINE(COUNTIF(N53:O53,TRUE),{""charttype"",""bar"";""max"",2;""color1"",IF(COUNTIF(N53:O53, TRUE)=2, ""green"", ""yellow"")})"),"")</f>
        <v/>
      </c>
      <c r="Q53" s="6" t="s">
        <v>26</v>
      </c>
    </row>
    <row r="54">
      <c r="A54" s="5">
        <v>46106.900667152775</v>
      </c>
      <c r="B54" s="6" t="s">
        <v>404</v>
      </c>
      <c r="C54" s="6" t="s">
        <v>405</v>
      </c>
      <c r="D54" s="6" t="s">
        <v>406</v>
      </c>
      <c r="E54" s="6" t="s">
        <v>407</v>
      </c>
      <c r="F54" s="7">
        <v>46387.0</v>
      </c>
      <c r="G54" s="6" t="s">
        <v>205</v>
      </c>
      <c r="H54" s="6" t="s">
        <v>408</v>
      </c>
      <c r="I54" s="12" t="s">
        <v>409</v>
      </c>
      <c r="J54" s="6" t="s">
        <v>49</v>
      </c>
      <c r="K54" s="6" t="s">
        <v>24</v>
      </c>
      <c r="L54" s="10" t="s">
        <v>410</v>
      </c>
      <c r="M54" s="9"/>
      <c r="N54" s="9" t="b">
        <v>0</v>
      </c>
      <c r="O54" s="6" t="b">
        <v>1</v>
      </c>
      <c r="P54" s="9" t="str">
        <f>IFERROR(__xludf.DUMMYFUNCTION("SPARKLINE(COUNTIF(N54:O54,TRUE),{""charttype"",""bar"";""max"",2;""color1"",IF(COUNTIF(N54:O54, TRUE)=2, ""green"", ""yellow"")})"),"")</f>
        <v/>
      </c>
      <c r="Q54" s="6" t="s">
        <v>26</v>
      </c>
      <c r="R54" s="13" t="s">
        <v>95</v>
      </c>
    </row>
    <row r="55">
      <c r="A55" s="5">
        <v>46107.3376078588</v>
      </c>
      <c r="B55" s="6" t="s">
        <v>411</v>
      </c>
      <c r="C55" s="6" t="s">
        <v>412</v>
      </c>
      <c r="D55" s="6" t="s">
        <v>413</v>
      </c>
      <c r="E55" s="6" t="s">
        <v>414</v>
      </c>
      <c r="F55" s="7">
        <v>39147.0</v>
      </c>
      <c r="G55" s="6" t="s">
        <v>415</v>
      </c>
      <c r="H55" s="6" t="s">
        <v>416</v>
      </c>
      <c r="I55" s="12" t="s">
        <v>417</v>
      </c>
      <c r="J55" s="6" t="s">
        <v>49</v>
      </c>
      <c r="K55" s="6" t="s">
        <v>24</v>
      </c>
      <c r="L55" s="10" t="s">
        <v>418</v>
      </c>
      <c r="M55" s="9"/>
      <c r="N55" s="6" t="b">
        <v>0</v>
      </c>
      <c r="O55" s="6" t="b">
        <v>1</v>
      </c>
      <c r="P55" s="9" t="str">
        <f>IFERROR(__xludf.DUMMYFUNCTION("SPARKLINE(COUNTIF(N55:O55,TRUE),{""charttype"",""bar"";""max"",2;""color1"",IF(COUNTIF(N55:O55, TRUE)=2, ""green"", ""yellow"")})"),"")</f>
        <v/>
      </c>
      <c r="Q55" s="6" t="s">
        <v>26</v>
      </c>
      <c r="R55" s="13" t="s">
        <v>95</v>
      </c>
    </row>
    <row r="56">
      <c r="A56" s="5">
        <v>46107.40205344907</v>
      </c>
      <c r="B56" s="6" t="s">
        <v>419</v>
      </c>
      <c r="C56" s="6" t="s">
        <v>420</v>
      </c>
      <c r="D56" s="6" t="s">
        <v>421</v>
      </c>
      <c r="E56" s="6" t="s">
        <v>422</v>
      </c>
      <c r="F56" s="7">
        <v>48212.0</v>
      </c>
      <c r="G56" s="6" t="s">
        <v>236</v>
      </c>
      <c r="H56" s="6" t="s">
        <v>423</v>
      </c>
      <c r="I56" s="12" t="s">
        <v>424</v>
      </c>
      <c r="J56" s="6" t="s">
        <v>49</v>
      </c>
      <c r="K56" s="6" t="s">
        <v>24</v>
      </c>
      <c r="L56" s="10" t="s">
        <v>425</v>
      </c>
      <c r="M56" s="12" t="s">
        <v>426</v>
      </c>
      <c r="N56" s="6" t="b">
        <v>1</v>
      </c>
      <c r="O56" s="6" t="b">
        <v>1</v>
      </c>
      <c r="P56" s="9" t="str">
        <f>IFERROR(__xludf.DUMMYFUNCTION("SPARKLINE(COUNTIF(N56:O56,TRUE),{""charttype"",""bar"";""max"",2;""color1"",IF(COUNTIF(N56:O56, TRUE)=2, ""green"", ""yellow"")})"),"")</f>
        <v/>
      </c>
      <c r="Q56" s="6" t="s">
        <v>26</v>
      </c>
    </row>
    <row r="57">
      <c r="A57" s="5">
        <v>46108.339800138885</v>
      </c>
      <c r="B57" s="6" t="s">
        <v>427</v>
      </c>
      <c r="C57" s="6" t="s">
        <v>428</v>
      </c>
      <c r="D57" s="6" t="s">
        <v>429</v>
      </c>
      <c r="E57" s="6" t="s">
        <v>430</v>
      </c>
      <c r="F57" s="7">
        <v>46387.0</v>
      </c>
      <c r="G57" s="6" t="s">
        <v>189</v>
      </c>
      <c r="H57" s="6" t="s">
        <v>431</v>
      </c>
      <c r="I57" s="12" t="s">
        <v>432</v>
      </c>
      <c r="J57" s="6" t="s">
        <v>49</v>
      </c>
      <c r="K57" s="6" t="s">
        <v>24</v>
      </c>
      <c r="L57" s="6" t="s">
        <v>433</v>
      </c>
      <c r="M57" s="9"/>
      <c r="N57" s="6" t="b">
        <v>1</v>
      </c>
      <c r="O57" s="6" t="b">
        <v>1</v>
      </c>
      <c r="P57" s="9" t="str">
        <f>IFERROR(__xludf.DUMMYFUNCTION("SPARKLINE(COUNTIF(N57:O57,TRUE),{""charttype"",""bar"";""max"",2;""color1"",IF(COUNTIF(N57:O57, TRUE)=2, ""green"", ""yellow"")})"),"")</f>
        <v/>
      </c>
      <c r="Q57" s="6" t="s">
        <v>26</v>
      </c>
    </row>
    <row r="58">
      <c r="A58" s="5">
        <v>46108.36266572917</v>
      </c>
      <c r="B58" s="6" t="s">
        <v>434</v>
      </c>
      <c r="C58" s="6" t="s">
        <v>435</v>
      </c>
      <c r="D58" s="6" t="s">
        <v>436</v>
      </c>
      <c r="E58" s="6" t="s">
        <v>437</v>
      </c>
      <c r="F58" s="7">
        <v>46387.0</v>
      </c>
      <c r="G58" s="6" t="s">
        <v>438</v>
      </c>
      <c r="H58" s="6" t="s">
        <v>439</v>
      </c>
      <c r="I58" s="12" t="s">
        <v>440</v>
      </c>
      <c r="J58" s="6" t="s">
        <v>49</v>
      </c>
      <c r="K58" s="6" t="s">
        <v>24</v>
      </c>
      <c r="L58" s="6" t="s">
        <v>441</v>
      </c>
      <c r="M58" s="9"/>
      <c r="N58" s="6" t="b">
        <v>1</v>
      </c>
      <c r="O58" s="6" t="b">
        <v>1</v>
      </c>
      <c r="P58" s="9" t="str">
        <f>IFERROR(__xludf.DUMMYFUNCTION("SPARKLINE(COUNTIF(N58:O58,TRUE),{""charttype"",""bar"";""max"",2;""color1"",IF(COUNTIF(N58:O58, TRUE)=2, ""green"", ""yellow"")})"),"")</f>
        <v/>
      </c>
      <c r="Q58" s="6" t="s">
        <v>26</v>
      </c>
    </row>
    <row r="59">
      <c r="A59" s="5">
        <v>46108.37578997685</v>
      </c>
      <c r="B59" s="6" t="s">
        <v>442</v>
      </c>
      <c r="C59" s="6" t="s">
        <v>443</v>
      </c>
      <c r="D59" s="6" t="s">
        <v>444</v>
      </c>
      <c r="E59" s="6" t="s">
        <v>445</v>
      </c>
      <c r="F59" s="7">
        <v>46295.0</v>
      </c>
      <c r="G59" s="6" t="s">
        <v>446</v>
      </c>
      <c r="H59" s="6" t="s">
        <v>447</v>
      </c>
      <c r="I59" s="12" t="s">
        <v>448</v>
      </c>
      <c r="J59" s="6" t="s">
        <v>49</v>
      </c>
      <c r="K59" s="6" t="s">
        <v>24</v>
      </c>
      <c r="L59" s="10" t="s">
        <v>449</v>
      </c>
      <c r="M59" s="9"/>
      <c r="N59" s="6" t="b">
        <v>1</v>
      </c>
      <c r="O59" s="6" t="b">
        <v>1</v>
      </c>
      <c r="P59" s="9" t="str">
        <f>IFERROR(__xludf.DUMMYFUNCTION("SPARKLINE(COUNTIF(N59:O59,TRUE),{""charttype"",""bar"";""max"",2;""color1"",IF(COUNTIF(N59:O59, TRUE)=2, ""green"", ""yellow"")})"),"")</f>
        <v/>
      </c>
      <c r="Q59" s="6" t="s">
        <v>26</v>
      </c>
    </row>
    <row r="60">
      <c r="A60" s="5">
        <v>46108.44281432871</v>
      </c>
      <c r="B60" s="6" t="s">
        <v>450</v>
      </c>
      <c r="C60" s="6" t="s">
        <v>451</v>
      </c>
      <c r="D60" s="6" t="s">
        <v>452</v>
      </c>
      <c r="E60" s="6" t="s">
        <v>453</v>
      </c>
      <c r="F60" s="7">
        <v>46387.0</v>
      </c>
      <c r="G60" s="6" t="s">
        <v>446</v>
      </c>
      <c r="H60" s="6" t="s">
        <v>454</v>
      </c>
      <c r="I60" s="12" t="s">
        <v>455</v>
      </c>
      <c r="J60" s="6" t="s">
        <v>49</v>
      </c>
      <c r="K60" s="6" t="s">
        <v>24</v>
      </c>
      <c r="L60" s="10" t="s">
        <v>456</v>
      </c>
      <c r="M60" s="9"/>
      <c r="N60" s="6" t="b">
        <v>1</v>
      </c>
      <c r="O60" s="6" t="b">
        <v>1</v>
      </c>
      <c r="P60" s="9" t="str">
        <f>IFERROR(__xludf.DUMMYFUNCTION("SPARKLINE(COUNTIF(N60:O60,TRUE),{""charttype"",""bar"";""max"",2;""color1"",IF(COUNTIF(N60:O60, TRUE)=2, ""green"", ""yellow"")})"),"")</f>
        <v/>
      </c>
      <c r="Q60" s="6" t="s">
        <v>26</v>
      </c>
    </row>
    <row r="61">
      <c r="A61" s="5">
        <v>46108.450930949075</v>
      </c>
      <c r="B61" s="6" t="s">
        <v>457</v>
      </c>
      <c r="C61" s="6" t="s">
        <v>458</v>
      </c>
      <c r="D61" s="6" t="s">
        <v>459</v>
      </c>
      <c r="E61" s="6" t="s">
        <v>460</v>
      </c>
      <c r="F61" s="7">
        <v>46387.0</v>
      </c>
      <c r="G61" s="6" t="s">
        <v>461</v>
      </c>
      <c r="H61" s="6" t="s">
        <v>462</v>
      </c>
      <c r="I61" s="12" t="s">
        <v>463</v>
      </c>
      <c r="J61" s="6" t="s">
        <v>49</v>
      </c>
      <c r="K61" s="6" t="s">
        <v>24</v>
      </c>
      <c r="L61" s="10" t="s">
        <v>464</v>
      </c>
      <c r="M61" s="9"/>
      <c r="N61" s="6" t="b">
        <v>1</v>
      </c>
      <c r="O61" s="6" t="b">
        <v>1</v>
      </c>
      <c r="P61" s="9" t="str">
        <f>IFERROR(__xludf.DUMMYFUNCTION("SPARKLINE(COUNTIF(N61:O61,TRUE),{""charttype"",""bar"";""max"",2;""color1"",IF(COUNTIF(N61:O61, TRUE)=2, ""green"", ""yellow"")})"),"")</f>
        <v/>
      </c>
      <c r="Q61" s="6" t="s">
        <v>26</v>
      </c>
    </row>
    <row r="62">
      <c r="A62" s="5">
        <v>46108.52459980324</v>
      </c>
      <c r="B62" s="6" t="s">
        <v>465</v>
      </c>
      <c r="C62" s="6" t="s">
        <v>466</v>
      </c>
      <c r="D62" s="6" t="s">
        <v>467</v>
      </c>
      <c r="E62" s="6" t="s">
        <v>468</v>
      </c>
      <c r="F62" s="7">
        <v>46387.0</v>
      </c>
      <c r="G62" s="6" t="s">
        <v>62</v>
      </c>
      <c r="H62" s="6" t="s">
        <v>469</v>
      </c>
      <c r="I62" s="12" t="s">
        <v>470</v>
      </c>
      <c r="J62" s="6" t="s">
        <v>49</v>
      </c>
      <c r="K62" s="6" t="s">
        <v>24</v>
      </c>
      <c r="L62" s="10" t="s">
        <v>471</v>
      </c>
      <c r="M62" s="9"/>
      <c r="N62" s="6" t="b">
        <v>1</v>
      </c>
      <c r="O62" s="6" t="b">
        <v>1</v>
      </c>
      <c r="P62" s="9" t="str">
        <f>IFERROR(__xludf.DUMMYFUNCTION("SPARKLINE(COUNTIF(N62:O62,TRUE),{""charttype"",""bar"";""max"",2;""color1"",IF(COUNTIF(N62:O62, TRUE)=2, ""green"", ""yellow"")})"),"")</f>
        <v/>
      </c>
      <c r="Q62" s="6" t="s">
        <v>26</v>
      </c>
    </row>
    <row r="63">
      <c r="A63" s="5">
        <v>46108.52461305556</v>
      </c>
      <c r="B63" s="6" t="s">
        <v>472</v>
      </c>
      <c r="C63" s="6" t="s">
        <v>473</v>
      </c>
      <c r="D63" s="6" t="s">
        <v>474</v>
      </c>
      <c r="E63" s="6" t="s">
        <v>475</v>
      </c>
      <c r="F63" s="7">
        <v>46377.0</v>
      </c>
      <c r="G63" s="6" t="s">
        <v>62</v>
      </c>
      <c r="H63" s="6" t="s">
        <v>476</v>
      </c>
      <c r="I63" s="12" t="s">
        <v>477</v>
      </c>
      <c r="J63" s="6" t="s">
        <v>49</v>
      </c>
      <c r="K63" s="6" t="s">
        <v>24</v>
      </c>
      <c r="L63" s="10" t="s">
        <v>478</v>
      </c>
      <c r="M63" s="9"/>
      <c r="N63" s="6" t="b">
        <v>1</v>
      </c>
      <c r="O63" s="6" t="b">
        <v>1</v>
      </c>
      <c r="P63" s="9" t="str">
        <f>IFERROR(__xludf.DUMMYFUNCTION("SPARKLINE(COUNTIF(N63:O63,TRUE),{""charttype"",""bar"";""max"",2;""color1"",IF(COUNTIF(N63:O63, TRUE)=2, ""green"", ""yellow"")})"),"")</f>
        <v/>
      </c>
      <c r="Q63" s="6" t="s">
        <v>26</v>
      </c>
    </row>
    <row r="64">
      <c r="A64" s="5">
        <v>46108.52524157407</v>
      </c>
      <c r="B64" s="6" t="s">
        <v>479</v>
      </c>
      <c r="C64" s="6" t="s">
        <v>480</v>
      </c>
      <c r="D64" s="6" t="s">
        <v>481</v>
      </c>
      <c r="E64" s="6" t="s">
        <v>482</v>
      </c>
      <c r="F64" s="7" t="s">
        <v>483</v>
      </c>
      <c r="G64" s="6" t="s">
        <v>62</v>
      </c>
      <c r="H64" s="6" t="s">
        <v>484</v>
      </c>
      <c r="I64" s="12" t="s">
        <v>485</v>
      </c>
      <c r="J64" s="6" t="s">
        <v>49</v>
      </c>
      <c r="K64" s="6" t="s">
        <v>24</v>
      </c>
      <c r="L64" s="10" t="s">
        <v>486</v>
      </c>
      <c r="M64" s="9"/>
      <c r="N64" s="6" t="b">
        <v>1</v>
      </c>
      <c r="O64" s="6" t="b">
        <v>1</v>
      </c>
      <c r="P64" s="9" t="str">
        <f>IFERROR(__xludf.DUMMYFUNCTION("SPARKLINE(COUNTIF(N64:O64,TRUE),{""charttype"",""bar"";""max"",2;""color1"",IF(COUNTIF(N64:O64, TRUE)=2, ""green"", ""yellow"")})"),"")</f>
        <v/>
      </c>
      <c r="Q64" s="6" t="s">
        <v>26</v>
      </c>
    </row>
    <row r="65">
      <c r="A65" s="5">
        <v>46109.74463702546</v>
      </c>
      <c r="B65" s="6" t="s">
        <v>487</v>
      </c>
      <c r="C65" s="6" t="s">
        <v>488</v>
      </c>
      <c r="D65" s="6" t="s">
        <v>489</v>
      </c>
      <c r="E65" s="6" t="s">
        <v>490</v>
      </c>
      <c r="F65" s="7">
        <v>46387.0</v>
      </c>
      <c r="G65" s="6" t="s">
        <v>491</v>
      </c>
      <c r="H65" s="6" t="s">
        <v>492</v>
      </c>
      <c r="I65" s="12" t="s">
        <v>493</v>
      </c>
      <c r="J65" s="6" t="s">
        <v>49</v>
      </c>
      <c r="K65" s="6" t="s">
        <v>24</v>
      </c>
      <c r="L65" s="10" t="s">
        <v>494</v>
      </c>
      <c r="M65" s="9"/>
      <c r="N65" s="6" t="b">
        <v>1</v>
      </c>
      <c r="O65" s="6" t="b">
        <v>1</v>
      </c>
      <c r="P65" s="9" t="str">
        <f>IFERROR(__xludf.DUMMYFUNCTION("SPARKLINE(COUNTIF(N65:O65,TRUE),{""charttype"",""bar"";""max"",2;""color1"",IF(COUNTIF(N65:O65, TRUE)=2, ""green"", ""yellow"")})"),"")</f>
        <v/>
      </c>
      <c r="Q65" s="6" t="s">
        <v>26</v>
      </c>
    </row>
    <row r="66">
      <c r="A66" s="5">
        <v>46111.46744039352</v>
      </c>
      <c r="B66" s="6" t="s">
        <v>495</v>
      </c>
      <c r="C66" s="6" t="s">
        <v>496</v>
      </c>
      <c r="D66" s="6" t="s">
        <v>497</v>
      </c>
      <c r="E66" s="6" t="s">
        <v>498</v>
      </c>
      <c r="F66" s="7">
        <v>46387.0</v>
      </c>
      <c r="G66" s="6" t="s">
        <v>189</v>
      </c>
      <c r="H66" s="6" t="s">
        <v>499</v>
      </c>
      <c r="I66" s="12" t="s">
        <v>500</v>
      </c>
      <c r="J66" s="6" t="s">
        <v>49</v>
      </c>
      <c r="K66" s="6" t="s">
        <v>24</v>
      </c>
      <c r="L66" s="10" t="s">
        <v>501</v>
      </c>
      <c r="M66" s="9"/>
      <c r="N66" s="6" t="b">
        <v>1</v>
      </c>
      <c r="O66" s="6" t="b">
        <v>1</v>
      </c>
      <c r="P66" s="9" t="str">
        <f>IFERROR(__xludf.DUMMYFUNCTION("SPARKLINE(COUNTIF(N66:O66,TRUE),{""charttype"",""bar"";""max"",2;""color1"",IF(COUNTIF(N66:O66, TRUE)=2, ""green"", ""yellow"")})"),"")</f>
        <v/>
      </c>
      <c r="Q66" s="6" t="s">
        <v>26</v>
      </c>
    </row>
    <row r="67">
      <c r="A67" s="15">
        <v>46111.756302546295</v>
      </c>
      <c r="B67" s="16" t="s">
        <v>502</v>
      </c>
      <c r="C67" s="16" t="s">
        <v>503</v>
      </c>
      <c r="D67" s="16" t="s">
        <v>504</v>
      </c>
      <c r="E67" s="16" t="s">
        <v>505</v>
      </c>
      <c r="F67" s="17">
        <v>46660.0</v>
      </c>
      <c r="G67" s="16" t="s">
        <v>205</v>
      </c>
      <c r="H67" s="16" t="s">
        <v>506</v>
      </c>
      <c r="I67" s="18" t="s">
        <v>507</v>
      </c>
      <c r="J67" s="16" t="s">
        <v>49</v>
      </c>
      <c r="K67" s="16" t="s">
        <v>24</v>
      </c>
      <c r="L67" s="19" t="s">
        <v>508</v>
      </c>
      <c r="M67" s="20"/>
      <c r="N67" s="16" t="b">
        <v>1</v>
      </c>
      <c r="O67" s="20" t="b">
        <v>0</v>
      </c>
      <c r="P67" s="20" t="str">
        <f>IFERROR(__xludf.DUMMYFUNCTION("SPARKLINE(COUNTIF(N67:O67,TRUE),{""charttype"",""bar"";""max"",2;""color1"",IF(COUNTIF(N67:O67, TRUE)=2, ""green"", ""yellow"")})"),"")</f>
        <v/>
      </c>
      <c r="Q67" s="16" t="s">
        <v>509</v>
      </c>
      <c r="R67" s="21" t="s">
        <v>510</v>
      </c>
    </row>
    <row r="68">
      <c r="A68" s="15">
        <v>46111.90295841436</v>
      </c>
      <c r="B68" s="16" t="s">
        <v>511</v>
      </c>
      <c r="C68" s="16" t="s">
        <v>512</v>
      </c>
      <c r="D68" s="16" t="s">
        <v>513</v>
      </c>
      <c r="E68" s="16" t="s">
        <v>514</v>
      </c>
      <c r="F68" s="17">
        <v>46387.0</v>
      </c>
      <c r="G68" s="16" t="s">
        <v>205</v>
      </c>
      <c r="H68" s="16" t="s">
        <v>515</v>
      </c>
      <c r="I68" s="18" t="s">
        <v>516</v>
      </c>
      <c r="J68" s="16" t="s">
        <v>49</v>
      </c>
      <c r="K68" s="16" t="s">
        <v>24</v>
      </c>
      <c r="L68" s="19" t="s">
        <v>517</v>
      </c>
      <c r="M68" s="20"/>
      <c r="N68" s="16" t="b">
        <v>1</v>
      </c>
      <c r="O68" s="20" t="b">
        <v>0</v>
      </c>
      <c r="P68" s="20" t="str">
        <f>IFERROR(__xludf.DUMMYFUNCTION("SPARKLINE(COUNTIF(N68:O68,TRUE),{""charttype"",""bar"";""max"",2;""color1"",IF(COUNTIF(N68:O68, TRUE)=2, ""green"", ""yellow"")})"),"")</f>
        <v/>
      </c>
      <c r="Q68" s="16" t="s">
        <v>509</v>
      </c>
      <c r="R68" s="21" t="s">
        <v>510</v>
      </c>
    </row>
    <row r="69">
      <c r="A69" s="5">
        <v>46112.44883436343</v>
      </c>
      <c r="B69" s="6" t="s">
        <v>518</v>
      </c>
      <c r="C69" s="6" t="s">
        <v>519</v>
      </c>
      <c r="D69" s="6" t="s">
        <v>520</v>
      </c>
      <c r="E69" s="6" t="s">
        <v>521</v>
      </c>
      <c r="F69" s="7">
        <v>46386.0</v>
      </c>
      <c r="G69" s="6" t="s">
        <v>189</v>
      </c>
      <c r="H69" s="6" t="s">
        <v>522</v>
      </c>
      <c r="I69" s="12" t="s">
        <v>523</v>
      </c>
      <c r="J69" s="6" t="s">
        <v>49</v>
      </c>
      <c r="K69" s="6" t="s">
        <v>24</v>
      </c>
      <c r="L69" s="10" t="s">
        <v>524</v>
      </c>
      <c r="M69" s="9"/>
      <c r="N69" s="6" t="b">
        <v>1</v>
      </c>
      <c r="O69" s="6" t="b">
        <v>1</v>
      </c>
      <c r="P69" s="9" t="str">
        <f>IFERROR(__xludf.DUMMYFUNCTION("SPARKLINE(COUNTIF(N69:O69,TRUE),{""charttype"",""bar"";""max"",2;""color1"",IF(COUNTIF(N69:O69, TRUE)=2, ""green"", ""yellow"")})"),"")</f>
        <v/>
      </c>
      <c r="Q69" s="6" t="s">
        <v>26</v>
      </c>
    </row>
    <row r="70">
      <c r="A70" s="15">
        <v>46112.725791018514</v>
      </c>
      <c r="B70" s="16" t="s">
        <v>525</v>
      </c>
      <c r="C70" s="16" t="s">
        <v>526</v>
      </c>
      <c r="D70" s="16" t="s">
        <v>527</v>
      </c>
      <c r="E70" s="16" t="s">
        <v>528</v>
      </c>
      <c r="F70" s="17">
        <v>46295.0</v>
      </c>
      <c r="G70" s="16" t="s">
        <v>205</v>
      </c>
      <c r="H70" s="16" t="s">
        <v>529</v>
      </c>
      <c r="I70" s="18" t="s">
        <v>530</v>
      </c>
      <c r="J70" s="16" t="s">
        <v>49</v>
      </c>
      <c r="K70" s="16" t="s">
        <v>24</v>
      </c>
      <c r="L70" s="19" t="s">
        <v>531</v>
      </c>
      <c r="M70" s="20"/>
      <c r="N70" s="16" t="b">
        <v>1</v>
      </c>
      <c r="O70" s="20" t="b">
        <v>0</v>
      </c>
      <c r="P70" s="20" t="str">
        <f>IFERROR(__xludf.DUMMYFUNCTION("SPARKLINE(COUNTIF(N70:O70,TRUE),{""charttype"",""bar"";""max"",2;""color1"",IF(COUNTIF(N70:O70, TRUE)=2, ""green"", ""yellow"")})"),"")</f>
        <v/>
      </c>
      <c r="Q70" s="20"/>
      <c r="R70" s="21" t="s">
        <v>510</v>
      </c>
    </row>
    <row r="71">
      <c r="A71" s="5">
        <v>46113.30137916667</v>
      </c>
      <c r="B71" s="6" t="s">
        <v>532</v>
      </c>
      <c r="C71" s="6" t="s">
        <v>533</v>
      </c>
      <c r="D71" s="6" t="s">
        <v>534</v>
      </c>
      <c r="E71" s="6" t="s">
        <v>535</v>
      </c>
      <c r="F71" s="7">
        <v>46387.0</v>
      </c>
      <c r="G71" s="6" t="s">
        <v>446</v>
      </c>
      <c r="H71" s="6" t="s">
        <v>536</v>
      </c>
      <c r="I71" s="12" t="s">
        <v>537</v>
      </c>
      <c r="J71" s="6" t="s">
        <v>49</v>
      </c>
      <c r="K71" s="6" t="s">
        <v>24</v>
      </c>
      <c r="L71" s="10" t="s">
        <v>538</v>
      </c>
      <c r="M71" s="9"/>
      <c r="N71" s="6" t="b">
        <v>1</v>
      </c>
      <c r="O71" s="6" t="b">
        <v>1</v>
      </c>
      <c r="P71" s="9" t="str">
        <f>IFERROR(__xludf.DUMMYFUNCTION("SPARKLINE(COUNTIF(N71:O71,TRUE),{""charttype"",""bar"";""max"",2;""color1"",IF(COUNTIF(N71:O71, TRUE)=2, ""green"", ""yellow"")})"),"")</f>
        <v/>
      </c>
      <c r="Q71" s="6" t="s">
        <v>26</v>
      </c>
    </row>
    <row r="72">
      <c r="A72" s="5">
        <v>46113.55278431713</v>
      </c>
      <c r="B72" s="6" t="s">
        <v>539</v>
      </c>
      <c r="C72" s="6" t="s">
        <v>540</v>
      </c>
      <c r="D72" s="6" t="s">
        <v>541</v>
      </c>
      <c r="E72" s="6" t="s">
        <v>542</v>
      </c>
      <c r="F72" s="7">
        <v>46387.0</v>
      </c>
      <c r="G72" s="6" t="s">
        <v>543</v>
      </c>
      <c r="H72" s="6" t="s">
        <v>544</v>
      </c>
      <c r="I72" s="12" t="s">
        <v>545</v>
      </c>
      <c r="J72" s="6" t="s">
        <v>49</v>
      </c>
      <c r="K72" s="6" t="s">
        <v>24</v>
      </c>
      <c r="L72" s="10" t="s">
        <v>546</v>
      </c>
      <c r="M72" s="9"/>
      <c r="N72" s="6" t="b">
        <v>1</v>
      </c>
      <c r="O72" s="6" t="b">
        <v>1</v>
      </c>
      <c r="P72" s="9" t="str">
        <f>IFERROR(__xludf.DUMMYFUNCTION("SPARKLINE(COUNTIF(N72:O72,TRUE),{""charttype"",""bar"";""max"",2;""color1"",IF(COUNTIF(N72:O72, TRUE)=2, ""green"", ""yellow"")})"),"")</f>
        <v/>
      </c>
      <c r="Q72" s="6" t="s">
        <v>26</v>
      </c>
    </row>
    <row r="73">
      <c r="A73" s="5">
        <v>46113.65631740741</v>
      </c>
      <c r="B73" s="6" t="s">
        <v>547</v>
      </c>
      <c r="C73" s="6" t="s">
        <v>548</v>
      </c>
      <c r="D73" s="6" t="s">
        <v>549</v>
      </c>
      <c r="E73" s="6" t="s">
        <v>550</v>
      </c>
      <c r="F73" s="7">
        <v>46387.0</v>
      </c>
      <c r="G73" s="6" t="s">
        <v>189</v>
      </c>
      <c r="H73" s="6" t="s">
        <v>551</v>
      </c>
      <c r="I73" s="12" t="s">
        <v>552</v>
      </c>
      <c r="J73" s="6" t="s">
        <v>49</v>
      </c>
      <c r="K73" s="6" t="s">
        <v>24</v>
      </c>
      <c r="L73" s="10" t="s">
        <v>553</v>
      </c>
      <c r="M73" s="9"/>
      <c r="N73" s="6" t="b">
        <v>1</v>
      </c>
      <c r="O73" s="6" t="b">
        <v>1</v>
      </c>
      <c r="P73" s="9" t="str">
        <f>IFERROR(__xludf.DUMMYFUNCTION("SPARKLINE(COUNTIF(N73:O73,TRUE),{""charttype"",""bar"";""max"",2;""color1"",IF(COUNTIF(N73:O73, TRUE)=2, ""green"", ""yellow"")})"),"")</f>
        <v/>
      </c>
      <c r="Q73" s="6" t="s">
        <v>26</v>
      </c>
    </row>
    <row r="74">
      <c r="A74" s="5">
        <v>46113.672828263894</v>
      </c>
      <c r="B74" s="6" t="s">
        <v>554</v>
      </c>
      <c r="C74" s="6" t="s">
        <v>555</v>
      </c>
      <c r="D74" s="6" t="s">
        <v>556</v>
      </c>
      <c r="E74" s="6" t="s">
        <v>557</v>
      </c>
      <c r="F74" s="7">
        <v>48213.0</v>
      </c>
      <c r="G74" s="6" t="s">
        <v>91</v>
      </c>
      <c r="H74" s="6" t="s">
        <v>558</v>
      </c>
      <c r="I74" s="12" t="s">
        <v>559</v>
      </c>
      <c r="J74" s="6" t="s">
        <v>49</v>
      </c>
      <c r="K74" s="6" t="s">
        <v>24</v>
      </c>
      <c r="L74" s="10" t="s">
        <v>560</v>
      </c>
      <c r="M74" s="9"/>
      <c r="N74" s="6" t="b">
        <v>1</v>
      </c>
      <c r="O74" s="6" t="b">
        <v>1</v>
      </c>
      <c r="P74" s="9" t="str">
        <f>IFERROR(__xludf.DUMMYFUNCTION("SPARKLINE(COUNTIF(N74:O74,TRUE),{""charttype"",""bar"";""max"",2;""color1"",IF(COUNTIF(N74:O74, TRUE)=2, ""green"", ""yellow"")})"),"")</f>
        <v/>
      </c>
      <c r="Q74" s="6" t="s">
        <v>26</v>
      </c>
    </row>
    <row r="75">
      <c r="A75" s="5">
        <v>46118.342118252316</v>
      </c>
      <c r="B75" s="6" t="s">
        <v>561</v>
      </c>
      <c r="C75" s="6" t="s">
        <v>145</v>
      </c>
      <c r="D75" s="6" t="s">
        <v>562</v>
      </c>
      <c r="E75" s="6" t="s">
        <v>563</v>
      </c>
      <c r="F75" s="7">
        <v>46660.0</v>
      </c>
      <c r="G75" s="6" t="s">
        <v>123</v>
      </c>
      <c r="H75" s="6" t="s">
        <v>564</v>
      </c>
      <c r="I75" s="12" t="s">
        <v>565</v>
      </c>
      <c r="J75" s="6" t="s">
        <v>49</v>
      </c>
      <c r="K75" s="6" t="s">
        <v>24</v>
      </c>
      <c r="L75" s="10" t="s">
        <v>566</v>
      </c>
      <c r="M75" s="9"/>
      <c r="N75" s="6" t="b">
        <v>1</v>
      </c>
      <c r="O75" s="6" t="b">
        <v>1</v>
      </c>
      <c r="P75" s="9" t="str">
        <f>IFERROR(__xludf.DUMMYFUNCTION("SPARKLINE(COUNTIF(N75:O75,TRUE),{""charttype"",""bar"";""max"",2;""color1"",IF(COUNTIF(N75:O75, TRUE)=2, ""green"", ""yellow"")})"),"")</f>
        <v/>
      </c>
      <c r="Q75" s="6" t="s">
        <v>26</v>
      </c>
    </row>
    <row r="76">
      <c r="A76" s="5">
        <v>46118.395044432866</v>
      </c>
      <c r="B76" s="6" t="s">
        <v>567</v>
      </c>
      <c r="C76" s="6" t="s">
        <v>568</v>
      </c>
      <c r="D76" s="6" t="s">
        <v>569</v>
      </c>
      <c r="E76" s="6" t="s">
        <v>570</v>
      </c>
      <c r="F76" s="7">
        <v>47118.0</v>
      </c>
      <c r="G76" s="6" t="s">
        <v>123</v>
      </c>
      <c r="H76" s="6" t="s">
        <v>571</v>
      </c>
      <c r="I76" s="12" t="s">
        <v>572</v>
      </c>
      <c r="J76" s="6" t="s">
        <v>49</v>
      </c>
      <c r="K76" s="6" t="s">
        <v>24</v>
      </c>
      <c r="L76" s="6" t="s">
        <v>573</v>
      </c>
      <c r="M76" s="9"/>
      <c r="N76" s="6" t="b">
        <v>1</v>
      </c>
      <c r="O76" s="6" t="b">
        <v>1</v>
      </c>
      <c r="P76" s="9" t="str">
        <f>IFERROR(__xludf.DUMMYFUNCTION("SPARKLINE(COUNTIF(N76:O76,TRUE),{""charttype"",""bar"";""max"",2;""color1"",IF(COUNTIF(N76:O76, TRUE)=2, ""green"", ""yellow"")})"),"")</f>
        <v/>
      </c>
      <c r="Q76" s="6" t="s">
        <v>26</v>
      </c>
    </row>
    <row r="77">
      <c r="A77" s="15">
        <v>46118.65589480324</v>
      </c>
      <c r="B77" s="16" t="s">
        <v>574</v>
      </c>
      <c r="C77" s="16" t="s">
        <v>575</v>
      </c>
      <c r="D77" s="16" t="s">
        <v>576</v>
      </c>
      <c r="E77" s="16" t="s">
        <v>577</v>
      </c>
      <c r="F77" s="17">
        <v>46387.0</v>
      </c>
      <c r="G77" s="16" t="s">
        <v>205</v>
      </c>
      <c r="H77" s="16" t="s">
        <v>578</v>
      </c>
      <c r="I77" s="18" t="s">
        <v>579</v>
      </c>
      <c r="J77" s="16" t="s">
        <v>49</v>
      </c>
      <c r="K77" s="16" t="s">
        <v>24</v>
      </c>
      <c r="L77" s="19" t="s">
        <v>580</v>
      </c>
      <c r="M77" s="20"/>
      <c r="N77" s="16" t="b">
        <v>0</v>
      </c>
      <c r="O77" s="20" t="b">
        <v>0</v>
      </c>
      <c r="P77" s="20" t="str">
        <f>IFERROR(__xludf.DUMMYFUNCTION("SPARKLINE(COUNTIF(N77:O77,TRUE),{""charttype"",""bar"";""max"",2;""color1"",IF(COUNTIF(N77:O77, TRUE)=2, ""green"", ""yellow"")})"),"")</f>
        <v/>
      </c>
      <c r="Q77" s="16" t="s">
        <v>509</v>
      </c>
      <c r="R77" s="13" t="s">
        <v>581</v>
      </c>
    </row>
    <row r="78">
      <c r="A78" s="5">
        <v>46118.969997754626</v>
      </c>
      <c r="B78" s="6" t="s">
        <v>582</v>
      </c>
      <c r="C78" s="6" t="s">
        <v>399</v>
      </c>
      <c r="D78" s="6" t="s">
        <v>583</v>
      </c>
      <c r="E78" s="6" t="s">
        <v>584</v>
      </c>
      <c r="F78" s="7">
        <v>46387.0</v>
      </c>
      <c r="G78" s="6" t="s">
        <v>461</v>
      </c>
      <c r="H78" s="6" t="s">
        <v>585</v>
      </c>
      <c r="I78" s="12" t="s">
        <v>586</v>
      </c>
      <c r="J78" s="6" t="s">
        <v>49</v>
      </c>
      <c r="K78" s="6" t="s">
        <v>24</v>
      </c>
      <c r="L78" s="10" t="s">
        <v>587</v>
      </c>
      <c r="M78" s="9"/>
      <c r="N78" s="6" t="b">
        <v>1</v>
      </c>
      <c r="O78" s="6" t="b">
        <v>1</v>
      </c>
      <c r="P78" s="9" t="str">
        <f>IFERROR(__xludf.DUMMYFUNCTION("SPARKLINE(COUNTIF(N78:O78,TRUE),{""charttype"",""bar"";""max"",2;""color1"",IF(COUNTIF(N78:O78, TRUE)=2, ""green"", ""yellow"")})"),"")</f>
        <v/>
      </c>
      <c r="Q78" s="6" t="s">
        <v>26</v>
      </c>
    </row>
    <row r="79">
      <c r="A79" s="5">
        <v>46119.30823105324</v>
      </c>
      <c r="B79" s="6" t="s">
        <v>588</v>
      </c>
      <c r="C79" s="6" t="s">
        <v>589</v>
      </c>
      <c r="D79" s="6" t="s">
        <v>590</v>
      </c>
      <c r="E79" s="6" t="s">
        <v>591</v>
      </c>
      <c r="F79" s="7">
        <v>47118.0</v>
      </c>
      <c r="G79" s="6" t="s">
        <v>461</v>
      </c>
      <c r="H79" s="6" t="s">
        <v>592</v>
      </c>
      <c r="I79" s="8" t="s">
        <v>593</v>
      </c>
      <c r="J79" s="6" t="s">
        <v>49</v>
      </c>
      <c r="K79" s="6" t="s">
        <v>24</v>
      </c>
      <c r="L79" s="10" t="s">
        <v>594</v>
      </c>
      <c r="M79" s="9"/>
      <c r="N79" s="6" t="b">
        <v>1</v>
      </c>
      <c r="O79" s="6" t="b">
        <v>1</v>
      </c>
      <c r="P79" s="9" t="str">
        <f>IFERROR(__xludf.DUMMYFUNCTION("SPARKLINE(COUNTIF(N79:O79,TRUE),{""charttype"",""bar"";""max"",2;""color1"",IF(COUNTIF(N79:O79, TRUE)=2, ""green"", ""yellow"")})"),"")</f>
        <v/>
      </c>
      <c r="Q79" s="6" t="s">
        <v>26</v>
      </c>
    </row>
    <row r="80">
      <c r="A80" s="15">
        <v>46119.33934733796</v>
      </c>
      <c r="B80" s="16" t="s">
        <v>595</v>
      </c>
      <c r="C80" s="16" t="s">
        <v>596</v>
      </c>
      <c r="D80" s="16" t="s">
        <v>597</v>
      </c>
      <c r="E80" s="16" t="s">
        <v>598</v>
      </c>
      <c r="F80" s="17">
        <v>46752.0</v>
      </c>
      <c r="G80" s="16" t="s">
        <v>205</v>
      </c>
      <c r="H80" s="16" t="s">
        <v>599</v>
      </c>
      <c r="I80" s="18" t="s">
        <v>600</v>
      </c>
      <c r="J80" s="16" t="s">
        <v>49</v>
      </c>
      <c r="K80" s="16" t="s">
        <v>24</v>
      </c>
      <c r="L80" s="19" t="s">
        <v>601</v>
      </c>
      <c r="M80" s="20"/>
      <c r="N80" s="16" t="b">
        <v>1</v>
      </c>
      <c r="O80" s="20" t="b">
        <v>0</v>
      </c>
      <c r="P80" s="20" t="str">
        <f>IFERROR(__xludf.DUMMYFUNCTION("SPARKLINE(COUNTIF(N80:O80,TRUE),{""charttype"",""bar"";""max"",2;""color1"",IF(COUNTIF(N80:O80, TRUE)=2, ""green"", ""yellow"")})"),"")</f>
        <v/>
      </c>
      <c r="Q80" s="20"/>
      <c r="R80" s="21" t="s">
        <v>510</v>
      </c>
    </row>
    <row r="81">
      <c r="A81" s="15">
        <v>46119.3936965162</v>
      </c>
      <c r="B81" s="16" t="s">
        <v>602</v>
      </c>
      <c r="C81" s="16" t="s">
        <v>603</v>
      </c>
      <c r="D81" s="16" t="s">
        <v>604</v>
      </c>
      <c r="E81" s="16" t="s">
        <v>605</v>
      </c>
      <c r="F81" s="17">
        <v>46752.0</v>
      </c>
      <c r="G81" s="16" t="s">
        <v>461</v>
      </c>
      <c r="H81" s="16" t="s">
        <v>606</v>
      </c>
      <c r="I81" s="18" t="s">
        <v>607</v>
      </c>
      <c r="J81" s="16" t="s">
        <v>49</v>
      </c>
      <c r="K81" s="16" t="s">
        <v>24</v>
      </c>
      <c r="L81" s="19" t="s">
        <v>608</v>
      </c>
      <c r="M81" s="20"/>
      <c r="N81" s="16" t="b">
        <v>1</v>
      </c>
      <c r="O81" s="20" t="b">
        <v>0</v>
      </c>
      <c r="P81" s="20" t="str">
        <f>IFERROR(__xludf.DUMMYFUNCTION("SPARKLINE(COUNTIF(N81:O81,TRUE),{""charttype"",""bar"";""max"",2;""color1"",IF(COUNTIF(N81:O81, TRUE)=2, ""green"", ""yellow"")})"),"")</f>
        <v/>
      </c>
      <c r="Q81" s="20"/>
      <c r="R81" s="21" t="s">
        <v>609</v>
      </c>
    </row>
    <row r="82">
      <c r="A82" s="15">
        <v>46119.627982986116</v>
      </c>
      <c r="B82" s="16" t="s">
        <v>610</v>
      </c>
      <c r="C82" s="16" t="s">
        <v>611</v>
      </c>
      <c r="D82" s="16" t="s">
        <v>612</v>
      </c>
      <c r="E82" s="16" t="s">
        <v>613</v>
      </c>
      <c r="F82" s="17">
        <v>46387.0</v>
      </c>
      <c r="G82" s="16" t="s">
        <v>205</v>
      </c>
      <c r="H82" s="16" t="s">
        <v>614</v>
      </c>
      <c r="I82" s="22" t="s">
        <v>615</v>
      </c>
      <c r="J82" s="16" t="s">
        <v>49</v>
      </c>
      <c r="K82" s="16" t="s">
        <v>24</v>
      </c>
      <c r="L82" s="19" t="s">
        <v>616</v>
      </c>
      <c r="M82" s="20"/>
      <c r="N82" s="16" t="b">
        <v>1</v>
      </c>
      <c r="O82" s="20" t="b">
        <v>0</v>
      </c>
      <c r="P82" s="20" t="str">
        <f>IFERROR(__xludf.DUMMYFUNCTION("SPARKLINE(COUNTIF(N82:O82,TRUE),{""charttype"",""bar"";""max"",2;""color1"",IF(COUNTIF(N82:O82, TRUE)=2, ""green"", ""yellow"")})"),"")</f>
        <v/>
      </c>
      <c r="Q82" s="20"/>
      <c r="R82" s="21" t="s">
        <v>510</v>
      </c>
    </row>
    <row r="83">
      <c r="A83" s="5">
        <v>46119.833402268516</v>
      </c>
      <c r="B83" s="6" t="s">
        <v>617</v>
      </c>
      <c r="C83" s="6" t="s">
        <v>618</v>
      </c>
      <c r="D83" s="6" t="s">
        <v>619</v>
      </c>
      <c r="E83" s="6" t="s">
        <v>620</v>
      </c>
      <c r="F83" s="7">
        <v>46295.0</v>
      </c>
      <c r="G83" s="6" t="s">
        <v>115</v>
      </c>
      <c r="H83" s="6" t="s">
        <v>621</v>
      </c>
      <c r="I83" s="8" t="s">
        <v>622</v>
      </c>
      <c r="J83" s="6" t="s">
        <v>49</v>
      </c>
      <c r="K83" s="6" t="s">
        <v>24</v>
      </c>
      <c r="L83" s="10" t="s">
        <v>623</v>
      </c>
      <c r="M83" s="9"/>
      <c r="N83" s="6" t="b">
        <v>1</v>
      </c>
      <c r="O83" s="6" t="b">
        <v>1</v>
      </c>
      <c r="P83" s="9" t="str">
        <f>IFERROR(__xludf.DUMMYFUNCTION("SPARKLINE(COUNTIF(N83:O83,TRUE),{""charttype"",""bar"";""max"",2;""color1"",IF(COUNTIF(N83:O83, TRUE)=2, ""green"", ""yellow"")})"),"")</f>
        <v/>
      </c>
      <c r="Q83" s="6" t="s">
        <v>26</v>
      </c>
    </row>
    <row r="84">
      <c r="A84" s="5">
        <v>46119.873926238426</v>
      </c>
      <c r="B84" s="6" t="s">
        <v>624</v>
      </c>
      <c r="C84" s="6" t="s">
        <v>625</v>
      </c>
      <c r="D84" s="6" t="s">
        <v>626</v>
      </c>
      <c r="E84" s="6" t="s">
        <v>627</v>
      </c>
      <c r="F84" s="7">
        <v>46295.0</v>
      </c>
      <c r="G84" s="6" t="s">
        <v>115</v>
      </c>
      <c r="H84" s="6" t="s">
        <v>628</v>
      </c>
      <c r="I84" s="12" t="s">
        <v>629</v>
      </c>
      <c r="J84" s="6" t="s">
        <v>49</v>
      </c>
      <c r="K84" s="6" t="s">
        <v>24</v>
      </c>
      <c r="L84" s="10" t="s">
        <v>623</v>
      </c>
      <c r="M84" s="9"/>
      <c r="N84" s="6" t="b">
        <v>1</v>
      </c>
      <c r="O84" s="6" t="b">
        <v>1</v>
      </c>
      <c r="P84" s="9" t="str">
        <f>IFERROR(__xludf.DUMMYFUNCTION("SPARKLINE(COUNTIF(N84:O84,TRUE),{""charttype"",""bar"";""max"",2;""color1"",IF(COUNTIF(N84:O84, TRUE)=2, ""green"", ""yellow"")})"),"")</f>
        <v/>
      </c>
      <c r="Q84" s="6" t="s">
        <v>26</v>
      </c>
    </row>
    <row r="85">
      <c r="A85" s="5">
        <v>46119.888088761574</v>
      </c>
      <c r="B85" s="6" t="s">
        <v>630</v>
      </c>
      <c r="C85" s="6" t="s">
        <v>631</v>
      </c>
      <c r="D85" s="6" t="s">
        <v>632</v>
      </c>
      <c r="E85" s="6" t="s">
        <v>633</v>
      </c>
      <c r="F85" s="7">
        <v>47483.0</v>
      </c>
      <c r="G85" s="6" t="s">
        <v>115</v>
      </c>
      <c r="H85" s="6" t="s">
        <v>634</v>
      </c>
      <c r="I85" s="12" t="s">
        <v>635</v>
      </c>
      <c r="J85" s="6" t="s">
        <v>49</v>
      </c>
      <c r="K85" s="6" t="s">
        <v>24</v>
      </c>
      <c r="L85" s="10" t="s">
        <v>636</v>
      </c>
      <c r="M85" s="12" t="s">
        <v>637</v>
      </c>
      <c r="N85" s="6" t="b">
        <v>1</v>
      </c>
      <c r="O85" s="6" t="b">
        <v>1</v>
      </c>
      <c r="P85" s="9" t="str">
        <f>IFERROR(__xludf.DUMMYFUNCTION("SPARKLINE(COUNTIF(N85:O85,TRUE),{""charttype"",""bar"";""max"",2;""color1"",IF(COUNTIF(N85:O85, TRUE)=2, ""green"", ""yellow"")})"),"")</f>
        <v/>
      </c>
      <c r="Q85" s="6" t="s">
        <v>26</v>
      </c>
    </row>
    <row r="86">
      <c r="A86" s="5">
        <v>46119.892611539355</v>
      </c>
      <c r="B86" s="6" t="s">
        <v>638</v>
      </c>
      <c r="C86" s="6" t="s">
        <v>639</v>
      </c>
      <c r="D86" s="6" t="s">
        <v>640</v>
      </c>
      <c r="E86" s="6" t="s">
        <v>641</v>
      </c>
      <c r="F86" s="7">
        <v>46387.0</v>
      </c>
      <c r="G86" s="6" t="s">
        <v>115</v>
      </c>
      <c r="H86" s="6" t="s">
        <v>642</v>
      </c>
      <c r="I86" s="12" t="s">
        <v>643</v>
      </c>
      <c r="J86" s="6" t="s">
        <v>49</v>
      </c>
      <c r="K86" s="6" t="s">
        <v>24</v>
      </c>
      <c r="L86" s="10" t="s">
        <v>623</v>
      </c>
      <c r="M86" s="9"/>
      <c r="N86" s="6" t="b">
        <v>1</v>
      </c>
      <c r="O86" s="6" t="b">
        <v>1</v>
      </c>
      <c r="P86" s="9" t="str">
        <f>IFERROR(__xludf.DUMMYFUNCTION("SPARKLINE(COUNTIF(N86:O86,TRUE),{""charttype"",""bar"";""max"",2;""color1"",IF(COUNTIF(N86:O86, TRUE)=2, ""green"", ""yellow"")})"),"")</f>
        <v/>
      </c>
      <c r="Q86" s="6" t="s">
        <v>26</v>
      </c>
    </row>
    <row r="87">
      <c r="A87" s="5">
        <v>46120.383636597224</v>
      </c>
      <c r="B87" s="6" t="s">
        <v>644</v>
      </c>
      <c r="C87" s="6" t="s">
        <v>645</v>
      </c>
      <c r="D87" s="6" t="s">
        <v>646</v>
      </c>
      <c r="E87" s="6">
        <v>0.0</v>
      </c>
      <c r="F87" s="7">
        <v>46120.0</v>
      </c>
      <c r="G87" s="6" t="s">
        <v>647</v>
      </c>
      <c r="H87" s="6" t="s">
        <v>648</v>
      </c>
      <c r="I87" s="8" t="s">
        <v>649</v>
      </c>
      <c r="J87" s="6" t="s">
        <v>49</v>
      </c>
      <c r="K87" s="6" t="s">
        <v>24</v>
      </c>
      <c r="L87" s="10" t="s">
        <v>650</v>
      </c>
      <c r="M87" s="9"/>
      <c r="N87" s="9" t="b">
        <v>0</v>
      </c>
      <c r="O87" s="6" t="b">
        <v>1</v>
      </c>
      <c r="P87" s="9" t="str">
        <f>IFERROR(__xludf.DUMMYFUNCTION("SPARKLINE(COUNTIF(N87:O87,TRUE),{""charttype"",""bar"";""max"",2;""color1"",IF(COUNTIF(N87:O87, TRUE)=2, ""green"", ""yellow"")})"),"")</f>
        <v/>
      </c>
      <c r="Q87" s="6" t="s">
        <v>26</v>
      </c>
      <c r="R87" s="13" t="s">
        <v>651</v>
      </c>
    </row>
    <row r="88">
      <c r="A88" s="5">
        <v>46120.40925701389</v>
      </c>
      <c r="B88" s="6" t="s">
        <v>652</v>
      </c>
      <c r="C88" s="6" t="s">
        <v>653</v>
      </c>
      <c r="D88" s="6" t="s">
        <v>654</v>
      </c>
      <c r="E88" s="6" t="s">
        <v>655</v>
      </c>
      <c r="F88" s="7">
        <v>46387.0</v>
      </c>
      <c r="G88" s="6" t="s">
        <v>647</v>
      </c>
      <c r="H88" s="6" t="s">
        <v>656</v>
      </c>
      <c r="I88" s="12" t="s">
        <v>657</v>
      </c>
      <c r="J88" s="6" t="s">
        <v>49</v>
      </c>
      <c r="K88" s="6" t="s">
        <v>24</v>
      </c>
      <c r="L88" s="10" t="s">
        <v>658</v>
      </c>
      <c r="M88" s="9"/>
      <c r="N88" s="9" t="b">
        <v>0</v>
      </c>
      <c r="O88" s="6" t="b">
        <v>1</v>
      </c>
      <c r="P88" s="9" t="str">
        <f>IFERROR(__xludf.DUMMYFUNCTION("SPARKLINE(COUNTIF(N88:O88,TRUE),{""charttype"",""bar"";""max"",2;""color1"",IF(COUNTIF(N88:O88, TRUE)=2, ""green"", ""yellow"")})"),"")</f>
        <v/>
      </c>
      <c r="Q88" s="6" t="s">
        <v>26</v>
      </c>
      <c r="R88" s="13" t="s">
        <v>651</v>
      </c>
    </row>
    <row r="89">
      <c r="A89" s="5">
        <v>46120.42275582176</v>
      </c>
      <c r="B89" s="6" t="s">
        <v>659</v>
      </c>
      <c r="C89" s="6" t="s">
        <v>660</v>
      </c>
      <c r="D89" s="6" t="s">
        <v>661</v>
      </c>
      <c r="E89" s="6" t="s">
        <v>662</v>
      </c>
      <c r="F89" s="7">
        <v>46387.0</v>
      </c>
      <c r="G89" s="6" t="s">
        <v>647</v>
      </c>
      <c r="H89" s="6" t="s">
        <v>663</v>
      </c>
      <c r="I89" s="12" t="s">
        <v>664</v>
      </c>
      <c r="J89" s="6" t="s">
        <v>49</v>
      </c>
      <c r="K89" s="6" t="s">
        <v>24</v>
      </c>
      <c r="L89" s="10" t="s">
        <v>665</v>
      </c>
      <c r="M89" s="9"/>
      <c r="N89" s="9" t="b">
        <v>0</v>
      </c>
      <c r="O89" s="6" t="b">
        <v>1</v>
      </c>
      <c r="P89" s="9" t="str">
        <f>IFERROR(__xludf.DUMMYFUNCTION("SPARKLINE(COUNTIF(N89:O89,TRUE),{""charttype"",""bar"";""max"",2;""color1"",IF(COUNTIF(N89:O89, TRUE)=2, ""green"", ""yellow"")})"),"")</f>
        <v/>
      </c>
      <c r="Q89" s="6" t="s">
        <v>26</v>
      </c>
      <c r="R89" s="13" t="s">
        <v>651</v>
      </c>
    </row>
    <row r="90">
      <c r="A90" s="5">
        <v>46120.46395416667</v>
      </c>
      <c r="B90" s="6" t="s">
        <v>666</v>
      </c>
      <c r="C90" s="6" t="s">
        <v>667</v>
      </c>
      <c r="D90" s="6" t="s">
        <v>668</v>
      </c>
      <c r="E90" s="6" t="s">
        <v>669</v>
      </c>
      <c r="F90" s="7">
        <v>46387.0</v>
      </c>
      <c r="G90" s="6" t="s">
        <v>438</v>
      </c>
      <c r="H90" s="6" t="s">
        <v>670</v>
      </c>
      <c r="I90" s="12" t="s">
        <v>671</v>
      </c>
      <c r="J90" s="6" t="s">
        <v>49</v>
      </c>
      <c r="K90" s="6" t="s">
        <v>24</v>
      </c>
      <c r="L90" s="10" t="s">
        <v>672</v>
      </c>
      <c r="M90" s="9"/>
      <c r="N90" s="6" t="b">
        <v>1</v>
      </c>
      <c r="O90" s="6" t="b">
        <v>1</v>
      </c>
      <c r="P90" s="9" t="str">
        <f>IFERROR(__xludf.DUMMYFUNCTION("SPARKLINE(COUNTIF(N90:O90,TRUE),{""charttype"",""bar"";""max"",2;""color1"",IF(COUNTIF(N90:O90, TRUE)=2, ""green"", ""yellow"")})"),"")</f>
        <v/>
      </c>
      <c r="Q90" s="6" t="s">
        <v>26</v>
      </c>
    </row>
    <row r="91">
      <c r="A91" s="5">
        <v>46120.47334328704</v>
      </c>
      <c r="B91" s="6" t="s">
        <v>673</v>
      </c>
      <c r="C91" s="6" t="s">
        <v>674</v>
      </c>
      <c r="D91" s="6" t="s">
        <v>675</v>
      </c>
      <c r="E91" s="6" t="s">
        <v>676</v>
      </c>
      <c r="F91" s="7">
        <v>46387.0</v>
      </c>
      <c r="G91" s="6" t="s">
        <v>438</v>
      </c>
      <c r="H91" s="6" t="s">
        <v>677</v>
      </c>
      <c r="I91" s="12" t="s">
        <v>678</v>
      </c>
      <c r="J91" s="6" t="s">
        <v>49</v>
      </c>
      <c r="K91" s="6" t="s">
        <v>24</v>
      </c>
      <c r="L91" s="10" t="s">
        <v>679</v>
      </c>
      <c r="M91" s="9"/>
      <c r="N91" s="6" t="b">
        <v>1</v>
      </c>
      <c r="O91" s="6" t="b">
        <v>1</v>
      </c>
      <c r="P91" s="9" t="str">
        <f>IFERROR(__xludf.DUMMYFUNCTION("SPARKLINE(COUNTIF(N91:O91,TRUE),{""charttype"",""bar"";""max"",2;""color1"",IF(COUNTIF(N91:O91, TRUE)=2, ""green"", ""yellow"")})"),"")</f>
        <v/>
      </c>
      <c r="Q91" s="6" t="s">
        <v>26</v>
      </c>
    </row>
    <row r="92">
      <c r="A92" s="5">
        <v>46120.474801550925</v>
      </c>
      <c r="B92" s="6" t="s">
        <v>680</v>
      </c>
      <c r="C92" s="6" t="s">
        <v>681</v>
      </c>
      <c r="D92" s="6" t="s">
        <v>682</v>
      </c>
      <c r="E92" s="6" t="s">
        <v>683</v>
      </c>
      <c r="F92" s="7">
        <v>46387.0</v>
      </c>
      <c r="G92" s="6" t="s">
        <v>446</v>
      </c>
      <c r="H92" s="6" t="s">
        <v>684</v>
      </c>
      <c r="I92" s="12" t="s">
        <v>685</v>
      </c>
      <c r="J92" s="6" t="s">
        <v>49</v>
      </c>
      <c r="K92" s="6" t="s">
        <v>24</v>
      </c>
      <c r="L92" s="10" t="s">
        <v>686</v>
      </c>
      <c r="M92" s="9"/>
      <c r="N92" s="6" t="b">
        <v>1</v>
      </c>
      <c r="O92" s="6" t="b">
        <v>1</v>
      </c>
      <c r="P92" s="9" t="str">
        <f>IFERROR(__xludf.DUMMYFUNCTION("SPARKLINE(COUNTIF(N92:O92,TRUE),{""charttype"",""bar"";""max"",2;""color1"",IF(COUNTIF(N92:O92, TRUE)=2, ""green"", ""yellow"")})"),"")</f>
        <v/>
      </c>
      <c r="Q92" s="6" t="s">
        <v>26</v>
      </c>
    </row>
    <row r="93">
      <c r="A93" s="5">
        <v>46120.57887636574</v>
      </c>
      <c r="B93" s="6" t="s">
        <v>687</v>
      </c>
      <c r="C93" s="6" t="s">
        <v>688</v>
      </c>
      <c r="D93" s="6" t="s">
        <v>689</v>
      </c>
      <c r="E93" s="10" t="s">
        <v>690</v>
      </c>
      <c r="F93" s="7">
        <v>47034.0</v>
      </c>
      <c r="G93" s="6" t="s">
        <v>647</v>
      </c>
      <c r="H93" s="6" t="s">
        <v>691</v>
      </c>
      <c r="I93" s="12" t="s">
        <v>692</v>
      </c>
      <c r="J93" s="6" t="s">
        <v>49</v>
      </c>
      <c r="K93" s="6" t="s">
        <v>24</v>
      </c>
      <c r="L93" s="10" t="s">
        <v>693</v>
      </c>
      <c r="M93" s="9"/>
      <c r="N93" s="9" t="b">
        <v>0</v>
      </c>
      <c r="O93" s="6" t="b">
        <v>1</v>
      </c>
      <c r="P93" s="9" t="str">
        <f>IFERROR(__xludf.DUMMYFUNCTION("SPARKLINE(COUNTIF(N93:O93,TRUE),{""charttype"",""bar"";""max"",2;""color1"",IF(COUNTIF(N93:O93, TRUE)=2, ""green"", ""yellow"")})"),"")</f>
        <v/>
      </c>
      <c r="Q93" s="6" t="s">
        <v>26</v>
      </c>
      <c r="R93" s="13" t="s">
        <v>651</v>
      </c>
    </row>
    <row r="94">
      <c r="A94" s="5">
        <v>46120.59605665509</v>
      </c>
      <c r="B94" s="6" t="s">
        <v>694</v>
      </c>
      <c r="C94" s="6" t="s">
        <v>695</v>
      </c>
      <c r="D94" s="6" t="s">
        <v>696</v>
      </c>
      <c r="E94" s="6" t="s">
        <v>697</v>
      </c>
      <c r="F94" s="7">
        <v>46752.0</v>
      </c>
      <c r="G94" s="6" t="s">
        <v>698</v>
      </c>
      <c r="H94" s="6" t="s">
        <v>699</v>
      </c>
      <c r="I94" s="12" t="s">
        <v>700</v>
      </c>
      <c r="J94" s="6" t="s">
        <v>49</v>
      </c>
      <c r="K94" s="6" t="s">
        <v>24</v>
      </c>
      <c r="L94" s="10" t="s">
        <v>701</v>
      </c>
      <c r="M94" s="9"/>
      <c r="N94" s="6" t="b">
        <v>1</v>
      </c>
      <c r="O94" s="6" t="b">
        <v>1</v>
      </c>
      <c r="P94" s="9" t="str">
        <f>IFERROR(__xludf.DUMMYFUNCTION("SPARKLINE(COUNTIF(N94:O94,TRUE),{""charttype"",""bar"";""max"",2;""color1"",IF(COUNTIF(N94:O94, TRUE)=2, ""green"", ""yellow"")})"),"")</f>
        <v/>
      </c>
      <c r="Q94" s="6" t="s">
        <v>26</v>
      </c>
    </row>
    <row r="95">
      <c r="A95" s="5">
        <v>46125.4321050463</v>
      </c>
      <c r="B95" s="6" t="s">
        <v>702</v>
      </c>
      <c r="C95" s="6" t="s">
        <v>703</v>
      </c>
      <c r="D95" s="6" t="s">
        <v>704</v>
      </c>
      <c r="E95" s="6" t="s">
        <v>705</v>
      </c>
      <c r="F95" s="7">
        <v>46387.0</v>
      </c>
      <c r="G95" s="6" t="s">
        <v>137</v>
      </c>
      <c r="H95" s="6" t="s">
        <v>706</v>
      </c>
      <c r="I95" s="8" t="s">
        <v>707</v>
      </c>
      <c r="J95" s="6" t="s">
        <v>49</v>
      </c>
      <c r="K95" s="6" t="s">
        <v>24</v>
      </c>
      <c r="L95" s="10" t="s">
        <v>708</v>
      </c>
      <c r="M95" s="9"/>
      <c r="N95" s="6" t="b">
        <v>1</v>
      </c>
      <c r="O95" s="6" t="b">
        <v>1</v>
      </c>
      <c r="P95" s="9" t="str">
        <f>IFERROR(__xludf.DUMMYFUNCTION("SPARKLINE(COUNTIF(N95:O95,TRUE),{""charttype"",""bar"";""max"",2;""color1"",IF(COUNTIF(N95:O95, TRUE)=2, ""green"", ""yellow"")})"),"")</f>
        <v/>
      </c>
      <c r="Q95" s="6" t="s">
        <v>26</v>
      </c>
    </row>
    <row r="96">
      <c r="A96" s="5">
        <v>46120.681235173615</v>
      </c>
      <c r="B96" s="6" t="s">
        <v>709</v>
      </c>
      <c r="C96" s="6" t="s">
        <v>710</v>
      </c>
      <c r="D96" s="6" t="s">
        <v>711</v>
      </c>
      <c r="E96" s="6" t="s">
        <v>712</v>
      </c>
      <c r="F96" s="7">
        <v>46387.0</v>
      </c>
      <c r="G96" s="6" t="s">
        <v>713</v>
      </c>
      <c r="H96" s="6" t="s">
        <v>714</v>
      </c>
      <c r="I96" s="8" t="s">
        <v>715</v>
      </c>
      <c r="J96" s="6" t="s">
        <v>49</v>
      </c>
      <c r="K96" s="6" t="s">
        <v>24</v>
      </c>
      <c r="L96" s="10" t="s">
        <v>716</v>
      </c>
      <c r="M96" s="9"/>
      <c r="N96" s="6" t="b">
        <v>1</v>
      </c>
      <c r="O96" s="6" t="b">
        <v>1</v>
      </c>
      <c r="P96" s="9" t="str">
        <f>IFERROR(__xludf.DUMMYFUNCTION("SPARKLINE(COUNTIF(N96:O96,TRUE),{""charttype"",""bar"";""max"",2;""color1"",IF(COUNTIF(N96:O96, TRUE)=2, ""green"", ""yellow"")})"),"")</f>
        <v/>
      </c>
      <c r="Q96" s="6" t="s">
        <v>26</v>
      </c>
    </row>
    <row r="97">
      <c r="A97" s="5">
        <v>46120.82515636574</v>
      </c>
      <c r="B97" s="6" t="s">
        <v>717</v>
      </c>
      <c r="C97" s="6" t="s">
        <v>718</v>
      </c>
      <c r="D97" s="6" t="s">
        <v>719</v>
      </c>
      <c r="E97" s="6" t="s">
        <v>720</v>
      </c>
      <c r="F97" s="7">
        <v>47208.0</v>
      </c>
      <c r="G97" s="6" t="s">
        <v>189</v>
      </c>
      <c r="H97" s="6" t="s">
        <v>721</v>
      </c>
      <c r="I97" s="12" t="s">
        <v>722</v>
      </c>
      <c r="J97" s="6" t="s">
        <v>49</v>
      </c>
      <c r="K97" s="6" t="s">
        <v>24</v>
      </c>
      <c r="L97" s="10" t="s">
        <v>723</v>
      </c>
      <c r="M97" s="9"/>
      <c r="N97" s="6" t="b">
        <v>1</v>
      </c>
      <c r="O97" s="6" t="b">
        <v>1</v>
      </c>
      <c r="P97" s="9" t="str">
        <f>IFERROR(__xludf.DUMMYFUNCTION("SPARKLINE(COUNTIF(N97:O97,TRUE),{""charttype"",""bar"";""max"",2;""color1"",IF(COUNTIF(N97:O97, TRUE)=2, ""green"", ""yellow"")})"),"")</f>
        <v/>
      </c>
      <c r="Q97" s="6" t="s">
        <v>26</v>
      </c>
    </row>
    <row r="98">
      <c r="A98" s="5">
        <v>46122.654928379634</v>
      </c>
      <c r="B98" s="6" t="s">
        <v>724</v>
      </c>
      <c r="C98" s="6" t="s">
        <v>725</v>
      </c>
      <c r="D98" s="6" t="s">
        <v>726</v>
      </c>
      <c r="E98" s="6" t="s">
        <v>727</v>
      </c>
      <c r="F98" s="7">
        <v>46387.0</v>
      </c>
      <c r="G98" s="6" t="s">
        <v>728</v>
      </c>
      <c r="H98" s="6" t="s">
        <v>729</v>
      </c>
      <c r="I98" s="12" t="s">
        <v>730</v>
      </c>
      <c r="J98" s="6" t="s">
        <v>49</v>
      </c>
      <c r="K98" s="6" t="s">
        <v>24</v>
      </c>
      <c r="L98" s="10" t="s">
        <v>731</v>
      </c>
      <c r="M98" s="9"/>
      <c r="N98" s="6" t="b">
        <v>1</v>
      </c>
      <c r="O98" s="6" t="b">
        <v>1</v>
      </c>
      <c r="P98" s="9" t="str">
        <f>IFERROR(__xludf.DUMMYFUNCTION("SPARKLINE(COUNTIF(N98:O98,TRUE),{""charttype"",""bar"";""max"",2;""color1"",IF(COUNTIF(N98:O98, TRUE)=2, ""green"", ""yellow"")})"),"")</f>
        <v/>
      </c>
      <c r="Q98" s="6" t="s">
        <v>26</v>
      </c>
    </row>
    <row r="99">
      <c r="A99" s="5">
        <v>46122.446322118056</v>
      </c>
      <c r="B99" s="6" t="s">
        <v>732</v>
      </c>
      <c r="C99" s="6" t="s">
        <v>733</v>
      </c>
      <c r="D99" s="6" t="s">
        <v>734</v>
      </c>
      <c r="E99" s="6" t="s">
        <v>735</v>
      </c>
      <c r="F99" s="7">
        <v>47118.0</v>
      </c>
      <c r="G99" s="6" t="s">
        <v>728</v>
      </c>
      <c r="H99" s="6" t="s">
        <v>736</v>
      </c>
      <c r="I99" s="12" t="s">
        <v>737</v>
      </c>
      <c r="J99" s="6" t="s">
        <v>49</v>
      </c>
      <c r="K99" s="6" t="s">
        <v>24</v>
      </c>
      <c r="L99" s="10" t="s">
        <v>738</v>
      </c>
      <c r="M99" s="12" t="s">
        <v>739</v>
      </c>
      <c r="N99" s="6" t="b">
        <v>1</v>
      </c>
      <c r="O99" s="6" t="b">
        <v>1</v>
      </c>
      <c r="P99" s="9" t="str">
        <f>IFERROR(__xludf.DUMMYFUNCTION("SPARKLINE(COUNTIF(N99:O99,TRUE),{""charttype"",""bar"";""max"",2;""color1"",IF(COUNTIF(N99:O99, TRUE)=2, ""green"", ""yellow"")})"),"")</f>
        <v/>
      </c>
      <c r="Q99" s="6" t="s">
        <v>26</v>
      </c>
    </row>
    <row r="100">
      <c r="A100" s="5">
        <v>46122.48777935185</v>
      </c>
      <c r="B100" s="6" t="s">
        <v>740</v>
      </c>
      <c r="C100" s="6" t="s">
        <v>741</v>
      </c>
      <c r="D100" s="6" t="s">
        <v>742</v>
      </c>
      <c r="E100" s="6" t="s">
        <v>743</v>
      </c>
      <c r="F100" s="7">
        <v>43709.0</v>
      </c>
      <c r="G100" s="6" t="s">
        <v>728</v>
      </c>
      <c r="H100" s="6" t="s">
        <v>744</v>
      </c>
      <c r="I100" s="12" t="s">
        <v>745</v>
      </c>
      <c r="J100" s="6" t="s">
        <v>49</v>
      </c>
      <c r="K100" s="6" t="s">
        <v>24</v>
      </c>
      <c r="L100" s="10" t="s">
        <v>746</v>
      </c>
      <c r="M100" s="9"/>
      <c r="N100" s="6" t="b">
        <v>1</v>
      </c>
      <c r="O100" s="6" t="b">
        <v>1</v>
      </c>
      <c r="P100" s="9" t="str">
        <f>IFERROR(__xludf.DUMMYFUNCTION("SPARKLINE(COUNTIF(N100:O100,TRUE),{""charttype"",""bar"";""max"",2;""color1"",IF(COUNTIF(N100:O100, TRUE)=2, ""green"", ""yellow"")})"),"")</f>
        <v/>
      </c>
      <c r="Q100" s="6" t="s">
        <v>26</v>
      </c>
    </row>
    <row r="101">
      <c r="A101" s="5">
        <v>46122.408295138885</v>
      </c>
      <c r="B101" s="6" t="s">
        <v>747</v>
      </c>
      <c r="C101" s="6" t="s">
        <v>748</v>
      </c>
      <c r="D101" s="6" t="s">
        <v>749</v>
      </c>
      <c r="E101" s="6" t="s">
        <v>750</v>
      </c>
      <c r="F101" s="7">
        <v>46377.0</v>
      </c>
      <c r="G101" s="6" t="s">
        <v>189</v>
      </c>
      <c r="H101" s="6" t="s">
        <v>751</v>
      </c>
      <c r="I101" s="12" t="s">
        <v>752</v>
      </c>
      <c r="J101" s="6" t="s">
        <v>49</v>
      </c>
      <c r="K101" s="6" t="s">
        <v>24</v>
      </c>
      <c r="L101" s="10" t="s">
        <v>753</v>
      </c>
      <c r="M101" s="9"/>
      <c r="N101" s="6" t="b">
        <v>1</v>
      </c>
      <c r="O101" s="6" t="b">
        <v>1</v>
      </c>
      <c r="P101" s="9" t="str">
        <f>IFERROR(__xludf.DUMMYFUNCTION("SPARKLINE(COUNTIF(N101:O101,TRUE),{""charttype"",""bar"";""max"",2;""color1"",IF(COUNTIF(N101:O101, TRUE)=2, ""green"", ""yellow"")})"),"")</f>
        <v/>
      </c>
      <c r="Q101" s="6" t="s">
        <v>26</v>
      </c>
    </row>
    <row r="102">
      <c r="A102" s="5">
        <v>46122.40871053241</v>
      </c>
      <c r="B102" s="6" t="s">
        <v>754</v>
      </c>
      <c r="C102" s="6" t="s">
        <v>755</v>
      </c>
      <c r="D102" s="6" t="s">
        <v>756</v>
      </c>
      <c r="E102" s="6" t="s">
        <v>757</v>
      </c>
      <c r="F102" s="7">
        <v>47118.0</v>
      </c>
      <c r="G102" s="6" t="s">
        <v>438</v>
      </c>
      <c r="H102" s="6" t="s">
        <v>758</v>
      </c>
      <c r="I102" s="12" t="s">
        <v>759</v>
      </c>
      <c r="J102" s="6" t="s">
        <v>49</v>
      </c>
      <c r="K102" s="6" t="s">
        <v>24</v>
      </c>
      <c r="L102" s="10" t="s">
        <v>760</v>
      </c>
      <c r="M102" s="9"/>
      <c r="N102" s="6" t="b">
        <v>1</v>
      </c>
      <c r="O102" s="6" t="b">
        <v>1</v>
      </c>
      <c r="P102" s="9" t="str">
        <f>IFERROR(__xludf.DUMMYFUNCTION("SPARKLINE(COUNTIF(N102:O102,TRUE),{""charttype"",""bar"";""max"",2;""color1"",IF(COUNTIF(N102:O102, TRUE)=2, ""green"", ""yellow"")})"),"")</f>
        <v/>
      </c>
      <c r="Q102" s="6" t="s">
        <v>26</v>
      </c>
    </row>
    <row r="103">
      <c r="A103" s="5">
        <v>46122.41129574074</v>
      </c>
      <c r="B103" s="6" t="s">
        <v>761</v>
      </c>
      <c r="C103" s="6" t="s">
        <v>762</v>
      </c>
      <c r="D103" s="6" t="s">
        <v>763</v>
      </c>
      <c r="E103" s="6" t="s">
        <v>764</v>
      </c>
      <c r="F103" s="7">
        <v>45930.0</v>
      </c>
      <c r="G103" s="6" t="s">
        <v>189</v>
      </c>
      <c r="H103" s="6" t="s">
        <v>765</v>
      </c>
      <c r="I103" s="12" t="s">
        <v>766</v>
      </c>
      <c r="J103" s="6" t="s">
        <v>49</v>
      </c>
      <c r="K103" s="6" t="s">
        <v>24</v>
      </c>
      <c r="L103" s="10" t="s">
        <v>767</v>
      </c>
      <c r="M103" s="9"/>
      <c r="N103" s="6" t="b">
        <v>1</v>
      </c>
      <c r="O103" s="6" t="b">
        <v>1</v>
      </c>
      <c r="P103" s="9" t="str">
        <f>IFERROR(__xludf.DUMMYFUNCTION("SPARKLINE(COUNTIF(N103:O103,TRUE),{""charttype"",""bar"";""max"",2;""color1"",IF(COUNTIF(N103:O103, TRUE)=2, ""green"", ""yellow"")})"),"")</f>
        <v/>
      </c>
      <c r="Q103" s="6" t="s">
        <v>26</v>
      </c>
    </row>
    <row r="104">
      <c r="A104" s="15">
        <v>46122.43839747686</v>
      </c>
      <c r="B104" s="16" t="s">
        <v>768</v>
      </c>
      <c r="C104" s="16" t="s">
        <v>769</v>
      </c>
      <c r="D104" s="16" t="s">
        <v>770</v>
      </c>
      <c r="E104" s="19" t="s">
        <v>771</v>
      </c>
      <c r="F104" s="17">
        <v>47197.0</v>
      </c>
      <c r="G104" s="16" t="s">
        <v>772</v>
      </c>
      <c r="H104" s="16" t="s">
        <v>773</v>
      </c>
      <c r="I104" s="18" t="s">
        <v>774</v>
      </c>
      <c r="J104" s="16" t="s">
        <v>49</v>
      </c>
      <c r="K104" s="16" t="s">
        <v>24</v>
      </c>
      <c r="L104" s="19" t="s">
        <v>775</v>
      </c>
      <c r="M104" s="20"/>
      <c r="N104" s="16" t="b">
        <v>1</v>
      </c>
      <c r="O104" s="20" t="b">
        <v>0</v>
      </c>
      <c r="P104" s="20" t="str">
        <f>IFERROR(__xludf.DUMMYFUNCTION("SPARKLINE(COUNTIF(N104:O104,TRUE),{""charttype"",""bar"";""max"",2;""color1"",IF(COUNTIF(N104:O104, TRUE)=2, ""green"", ""yellow"")})"),"")</f>
        <v/>
      </c>
      <c r="Q104" s="16" t="s">
        <v>509</v>
      </c>
      <c r="R104" s="23" t="s">
        <v>776</v>
      </c>
    </row>
    <row r="105">
      <c r="A105" s="5">
        <v>46122.52831122685</v>
      </c>
      <c r="B105" s="6" t="s">
        <v>777</v>
      </c>
      <c r="C105" s="6" t="s">
        <v>233</v>
      </c>
      <c r="D105" s="6" t="s">
        <v>778</v>
      </c>
      <c r="E105" s="6" t="s">
        <v>779</v>
      </c>
      <c r="F105" s="7">
        <v>46387.0</v>
      </c>
      <c r="G105" s="6" t="s">
        <v>205</v>
      </c>
      <c r="H105" s="6" t="s">
        <v>780</v>
      </c>
      <c r="I105" s="12" t="s">
        <v>781</v>
      </c>
      <c r="J105" s="6" t="s">
        <v>49</v>
      </c>
      <c r="K105" s="6" t="s">
        <v>24</v>
      </c>
      <c r="L105" s="6" t="s">
        <v>782</v>
      </c>
      <c r="M105" s="9"/>
      <c r="N105" s="6" t="b">
        <v>1</v>
      </c>
      <c r="O105" s="6" t="b">
        <v>1</v>
      </c>
      <c r="P105" s="9" t="str">
        <f>IFERROR(__xludf.DUMMYFUNCTION("SPARKLINE(COUNTIF(N105:O105,TRUE),{""charttype"",""bar"";""max"",2;""color1"",IF(COUNTIF(N105:O105, TRUE)=2, ""green"", ""yellow"")})"),"")</f>
        <v/>
      </c>
      <c r="Q105" s="6" t="s">
        <v>26</v>
      </c>
    </row>
    <row r="106">
      <c r="A106" s="15">
        <v>46122.595483680554</v>
      </c>
      <c r="B106" s="16" t="s">
        <v>783</v>
      </c>
      <c r="C106" s="16" t="s">
        <v>784</v>
      </c>
      <c r="D106" s="16" t="s">
        <v>785</v>
      </c>
      <c r="E106" s="16" t="s">
        <v>786</v>
      </c>
      <c r="F106" s="17">
        <v>46451.0</v>
      </c>
      <c r="G106" s="16" t="s">
        <v>189</v>
      </c>
      <c r="H106" s="16" t="s">
        <v>787</v>
      </c>
      <c r="I106" s="18" t="s">
        <v>788</v>
      </c>
      <c r="J106" s="16" t="s">
        <v>49</v>
      </c>
      <c r="K106" s="16" t="s">
        <v>24</v>
      </c>
      <c r="L106" s="19" t="s">
        <v>789</v>
      </c>
      <c r="M106" s="20"/>
      <c r="N106" s="16" t="b">
        <v>1</v>
      </c>
      <c r="O106" s="16" t="b">
        <v>0</v>
      </c>
      <c r="P106" s="20" t="str">
        <f>IFERROR(__xludf.DUMMYFUNCTION("SPARKLINE(COUNTIF(N106:O106,TRUE),{""charttype"",""bar"";""max"",2;""color1"",IF(COUNTIF(N106:O106, TRUE)=2, ""green"", ""yellow"")})"),"")</f>
        <v/>
      </c>
      <c r="Q106" s="16" t="s">
        <v>509</v>
      </c>
      <c r="R106" s="24" t="s">
        <v>790</v>
      </c>
    </row>
    <row r="107">
      <c r="A107" s="15">
        <v>46122.60808313657</v>
      </c>
      <c r="B107" s="16" t="s">
        <v>791</v>
      </c>
      <c r="C107" s="16" t="s">
        <v>792</v>
      </c>
      <c r="D107" s="16" t="s">
        <v>793</v>
      </c>
      <c r="E107" s="16" t="s">
        <v>794</v>
      </c>
      <c r="F107" s="17">
        <v>46387.0</v>
      </c>
      <c r="G107" s="16" t="s">
        <v>189</v>
      </c>
      <c r="H107" s="16" t="s">
        <v>795</v>
      </c>
      <c r="I107" s="18" t="s">
        <v>796</v>
      </c>
      <c r="J107" s="16" t="s">
        <v>49</v>
      </c>
      <c r="K107" s="16" t="s">
        <v>24</v>
      </c>
      <c r="L107" s="19" t="s">
        <v>797</v>
      </c>
      <c r="M107" s="20"/>
      <c r="N107" s="16" t="b">
        <v>1</v>
      </c>
      <c r="O107" s="20" t="b">
        <v>0</v>
      </c>
      <c r="P107" s="20" t="str">
        <f>IFERROR(__xludf.DUMMYFUNCTION("SPARKLINE(COUNTIF(N107:O107,TRUE),{""charttype"",""bar"";""max"",2;""color1"",IF(COUNTIF(N107:O107, TRUE)=2, ""green"", ""yellow"")})"),"")</f>
        <v/>
      </c>
      <c r="Q107" s="16" t="s">
        <v>509</v>
      </c>
      <c r="R107" s="24" t="s">
        <v>790</v>
      </c>
    </row>
    <row r="108">
      <c r="A108" s="15">
        <v>46122.61071807871</v>
      </c>
      <c r="B108" s="16" t="s">
        <v>798</v>
      </c>
      <c r="C108" s="16" t="s">
        <v>799</v>
      </c>
      <c r="D108" s="16" t="s">
        <v>800</v>
      </c>
      <c r="E108" s="16" t="s">
        <v>801</v>
      </c>
      <c r="F108" s="17">
        <v>46387.0</v>
      </c>
      <c r="G108" s="16" t="s">
        <v>189</v>
      </c>
      <c r="H108" s="16" t="s">
        <v>802</v>
      </c>
      <c r="I108" s="18" t="s">
        <v>803</v>
      </c>
      <c r="J108" s="16" t="s">
        <v>49</v>
      </c>
      <c r="K108" s="16" t="s">
        <v>24</v>
      </c>
      <c r="L108" s="19" t="s">
        <v>804</v>
      </c>
      <c r="M108" s="20"/>
      <c r="N108" s="16" t="b">
        <v>1</v>
      </c>
      <c r="O108" s="20" t="b">
        <v>0</v>
      </c>
      <c r="P108" s="20" t="str">
        <f>IFERROR(__xludf.DUMMYFUNCTION("SPARKLINE(COUNTIF(N108:O108,TRUE),{""charttype"",""bar"";""max"",2;""color1"",IF(COUNTIF(N108:O108, TRUE)=2, ""green"", ""yellow"")})"),"")</f>
        <v/>
      </c>
      <c r="Q108" s="16" t="s">
        <v>509</v>
      </c>
      <c r="R108" s="24" t="s">
        <v>790</v>
      </c>
    </row>
    <row r="109">
      <c r="A109" s="5">
        <v>46122.659613194446</v>
      </c>
      <c r="B109" s="6" t="s">
        <v>805</v>
      </c>
      <c r="C109" s="6" t="s">
        <v>806</v>
      </c>
      <c r="D109" s="6" t="s">
        <v>807</v>
      </c>
      <c r="E109" s="6" t="s">
        <v>808</v>
      </c>
      <c r="F109" s="7">
        <v>46387.0</v>
      </c>
      <c r="G109" s="6" t="s">
        <v>809</v>
      </c>
      <c r="H109" s="6" t="s">
        <v>810</v>
      </c>
      <c r="I109" s="12" t="s">
        <v>811</v>
      </c>
      <c r="J109" s="6" t="s">
        <v>49</v>
      </c>
      <c r="K109" s="6" t="s">
        <v>24</v>
      </c>
      <c r="L109" s="10" t="s">
        <v>812</v>
      </c>
      <c r="M109" s="9"/>
      <c r="N109" s="6" t="b">
        <v>1</v>
      </c>
      <c r="O109" s="6" t="b">
        <v>1</v>
      </c>
      <c r="P109" s="9" t="str">
        <f>IFERROR(__xludf.DUMMYFUNCTION("SPARKLINE(COUNTIF(N109:O109,TRUE),{""charttype"",""bar"";""max"",2;""color1"",IF(COUNTIF(N109:O109, TRUE)=2, ""green"", ""yellow"")})"),"")</f>
        <v/>
      </c>
      <c r="Q109" s="6" t="s">
        <v>26</v>
      </c>
    </row>
    <row r="110">
      <c r="A110" s="5">
        <v>46122.66449122685</v>
      </c>
      <c r="B110" s="6" t="s">
        <v>813</v>
      </c>
      <c r="C110" s="6" t="s">
        <v>814</v>
      </c>
      <c r="D110" s="6" t="s">
        <v>815</v>
      </c>
      <c r="E110" s="6" t="s">
        <v>816</v>
      </c>
      <c r="F110" s="7">
        <v>46295.0</v>
      </c>
      <c r="G110" s="6" t="s">
        <v>809</v>
      </c>
      <c r="H110" s="6" t="s">
        <v>817</v>
      </c>
      <c r="I110" s="8" t="s">
        <v>818</v>
      </c>
      <c r="J110" s="6" t="s">
        <v>49</v>
      </c>
      <c r="K110" s="6" t="s">
        <v>24</v>
      </c>
      <c r="L110" s="10" t="s">
        <v>819</v>
      </c>
      <c r="M110" s="12" t="s">
        <v>820</v>
      </c>
      <c r="N110" s="6" t="b">
        <v>1</v>
      </c>
      <c r="O110" s="6" t="b">
        <v>1</v>
      </c>
      <c r="P110" s="9" t="str">
        <f>IFERROR(__xludf.DUMMYFUNCTION("SPARKLINE(COUNTIF(N110:O110,TRUE),{""charttype"",""bar"";""max"",2;""color1"",IF(COUNTIF(N110:O110, TRUE)=2, ""green"", ""yellow"")})"),"")</f>
        <v/>
      </c>
      <c r="Q110" s="6" t="s">
        <v>26</v>
      </c>
    </row>
    <row r="111">
      <c r="A111" s="15">
        <v>46122.93968793981</v>
      </c>
      <c r="B111" s="16" t="s">
        <v>821</v>
      </c>
      <c r="C111" s="16" t="s">
        <v>822</v>
      </c>
      <c r="D111" s="16" t="s">
        <v>823</v>
      </c>
      <c r="E111" s="16" t="s">
        <v>824</v>
      </c>
      <c r="F111" s="17">
        <v>47118.0</v>
      </c>
      <c r="G111" s="16" t="s">
        <v>772</v>
      </c>
      <c r="H111" s="16" t="s">
        <v>825</v>
      </c>
      <c r="I111" s="22" t="s">
        <v>826</v>
      </c>
      <c r="J111" s="16" t="s">
        <v>49</v>
      </c>
      <c r="K111" s="16" t="s">
        <v>24</v>
      </c>
      <c r="L111" s="19" t="s">
        <v>827</v>
      </c>
      <c r="M111" s="20"/>
      <c r="N111" s="16" t="b">
        <v>1</v>
      </c>
      <c r="O111" s="20" t="b">
        <v>0</v>
      </c>
      <c r="P111" s="20" t="str">
        <f>IFERROR(__xludf.DUMMYFUNCTION("SPARKLINE(COUNTIF(N111:O111,TRUE),{""charttype"",""bar"";""max"",2;""color1"",IF(COUNTIF(N111:O111, TRUE)=2, ""green"", ""yellow"")})"),"")</f>
        <v/>
      </c>
      <c r="Q111" s="16" t="s">
        <v>509</v>
      </c>
      <c r="R111" s="23" t="s">
        <v>776</v>
      </c>
    </row>
    <row r="112">
      <c r="A112" s="5">
        <v>46123.46456266203</v>
      </c>
      <c r="B112" s="6" t="s">
        <v>828</v>
      </c>
      <c r="C112" s="6" t="s">
        <v>829</v>
      </c>
      <c r="D112" s="6" t="s">
        <v>830</v>
      </c>
      <c r="E112" s="6" t="s">
        <v>831</v>
      </c>
      <c r="F112" s="7">
        <v>46387.0</v>
      </c>
      <c r="G112" s="6" t="s">
        <v>491</v>
      </c>
      <c r="H112" s="6" t="s">
        <v>832</v>
      </c>
      <c r="I112" s="8" t="s">
        <v>833</v>
      </c>
      <c r="J112" s="6" t="s">
        <v>49</v>
      </c>
      <c r="K112" s="6" t="s">
        <v>24</v>
      </c>
      <c r="L112" s="10" t="s">
        <v>834</v>
      </c>
      <c r="M112" s="9"/>
      <c r="N112" s="6" t="b">
        <v>1</v>
      </c>
      <c r="O112" s="6" t="b">
        <v>1</v>
      </c>
      <c r="P112" s="9" t="str">
        <f>IFERROR(__xludf.DUMMYFUNCTION("SPARKLINE(COUNTIF(N112:O112,TRUE),{""charttype"",""bar"";""max"",2;""color1"",IF(COUNTIF(N112:O112, TRUE)=2, ""green"", ""yellow"")})"),"")</f>
        <v/>
      </c>
      <c r="Q112" s="6" t="s">
        <v>26</v>
      </c>
    </row>
    <row r="113">
      <c r="A113" s="5">
        <v>46123.468003483795</v>
      </c>
      <c r="B113" s="6" t="s">
        <v>835</v>
      </c>
      <c r="C113" s="6" t="s">
        <v>836</v>
      </c>
      <c r="D113" s="6" t="s">
        <v>837</v>
      </c>
      <c r="E113" s="6" t="s">
        <v>838</v>
      </c>
      <c r="F113" s="7">
        <v>36923.0</v>
      </c>
      <c r="G113" s="6" t="s">
        <v>839</v>
      </c>
      <c r="H113" s="6" t="s">
        <v>840</v>
      </c>
      <c r="I113" s="8" t="s">
        <v>841</v>
      </c>
      <c r="J113" s="6" t="s">
        <v>49</v>
      </c>
      <c r="K113" s="6" t="s">
        <v>24</v>
      </c>
      <c r="L113" s="10" t="s">
        <v>842</v>
      </c>
      <c r="M113" s="9"/>
      <c r="N113" s="6" t="b">
        <v>1</v>
      </c>
      <c r="O113" s="6" t="b">
        <v>1</v>
      </c>
      <c r="P113" s="9" t="str">
        <f>IFERROR(__xludf.DUMMYFUNCTION("SPARKLINE(COUNTIF(N113:O113,TRUE),{""charttype"",""bar"";""max"",2;""color1"",IF(COUNTIF(N113:O113, TRUE)=2, ""green"", ""yellow"")})"),"")</f>
        <v/>
      </c>
      <c r="Q113" s="6" t="s">
        <v>26</v>
      </c>
    </row>
    <row r="114">
      <c r="A114" s="15">
        <v>46123.83808454861</v>
      </c>
      <c r="B114" s="16" t="s">
        <v>843</v>
      </c>
      <c r="C114" s="16" t="s">
        <v>844</v>
      </c>
      <c r="D114" s="16" t="s">
        <v>845</v>
      </c>
      <c r="E114" s="16" t="s">
        <v>846</v>
      </c>
      <c r="F114" s="17">
        <v>46079.0</v>
      </c>
      <c r="G114" s="16" t="s">
        <v>772</v>
      </c>
      <c r="H114" s="16" t="s">
        <v>847</v>
      </c>
      <c r="I114" s="22" t="s">
        <v>848</v>
      </c>
      <c r="J114" s="16" t="s">
        <v>49</v>
      </c>
      <c r="K114" s="16" t="s">
        <v>24</v>
      </c>
      <c r="L114" s="19" t="s">
        <v>849</v>
      </c>
      <c r="M114" s="20"/>
      <c r="N114" s="16" t="b">
        <v>1</v>
      </c>
      <c r="O114" s="20" t="b">
        <v>0</v>
      </c>
      <c r="P114" s="20" t="str">
        <f>IFERROR(__xludf.DUMMYFUNCTION("SPARKLINE(COUNTIF(N114:O114,TRUE),{""charttype"",""bar"";""max"",2;""color1"",IF(COUNTIF(N114:O114, TRUE)=2, ""green"", ""yellow"")})"),"")</f>
        <v/>
      </c>
      <c r="Q114" s="16" t="s">
        <v>509</v>
      </c>
      <c r="R114" s="23" t="s">
        <v>776</v>
      </c>
    </row>
    <row r="115">
      <c r="A115" s="5">
        <v>46125.56591402778</v>
      </c>
      <c r="B115" s="6" t="s">
        <v>850</v>
      </c>
      <c r="C115" s="6" t="s">
        <v>851</v>
      </c>
      <c r="D115" s="6" t="s">
        <v>852</v>
      </c>
      <c r="E115" s="6" t="s">
        <v>853</v>
      </c>
      <c r="F115" s="7">
        <v>46387.0</v>
      </c>
      <c r="G115" s="6" t="s">
        <v>854</v>
      </c>
      <c r="H115" s="6" t="s">
        <v>855</v>
      </c>
      <c r="I115" s="12" t="s">
        <v>856</v>
      </c>
      <c r="J115" s="6" t="s">
        <v>49</v>
      </c>
      <c r="K115" s="6" t="s">
        <v>24</v>
      </c>
      <c r="L115" s="10" t="s">
        <v>857</v>
      </c>
      <c r="M115" s="9"/>
      <c r="N115" s="6" t="b">
        <v>1</v>
      </c>
      <c r="O115" s="6" t="b">
        <v>1</v>
      </c>
      <c r="P115" s="9" t="str">
        <f>IFERROR(__xludf.DUMMYFUNCTION("SPARKLINE(COUNTIF(N115:O115,TRUE),{""charttype"",""bar"";""max"",2;""color1"",IF(COUNTIF(N115:O115, TRUE)=2, ""green"", ""yellow"")})"),"")</f>
        <v/>
      </c>
      <c r="Q115" s="6" t="s">
        <v>26</v>
      </c>
    </row>
    <row r="116">
      <c r="A116" s="5">
        <v>46125.61490212963</v>
      </c>
      <c r="B116" s="6" t="s">
        <v>858</v>
      </c>
      <c r="C116" s="6" t="s">
        <v>859</v>
      </c>
      <c r="D116" s="6" t="s">
        <v>860</v>
      </c>
      <c r="E116" s="6" t="s">
        <v>861</v>
      </c>
      <c r="F116" s="7">
        <v>46752.0</v>
      </c>
      <c r="G116" s="6" t="s">
        <v>862</v>
      </c>
      <c r="H116" s="6" t="s">
        <v>863</v>
      </c>
      <c r="I116" s="12" t="s">
        <v>864</v>
      </c>
      <c r="J116" s="6" t="s">
        <v>49</v>
      </c>
      <c r="K116" s="6" t="s">
        <v>24</v>
      </c>
      <c r="L116" s="6" t="s">
        <v>865</v>
      </c>
      <c r="M116" s="9"/>
      <c r="N116" s="6" t="b">
        <v>1</v>
      </c>
      <c r="O116" s="6" t="b">
        <v>1</v>
      </c>
      <c r="P116" s="9" t="str">
        <f>IFERROR(__xludf.DUMMYFUNCTION("SPARKLINE(COUNTIF(N116:O116,TRUE),{""charttype"",""bar"";""max"",2;""color1"",IF(COUNTIF(N116:O116, TRUE)=2, ""green"", ""yellow"")})"),"")</f>
        <v/>
      </c>
      <c r="Q116" s="6" t="s">
        <v>26</v>
      </c>
    </row>
    <row r="117">
      <c r="A117" s="5">
        <v>46125.632313009264</v>
      </c>
      <c r="B117" s="6" t="s">
        <v>866</v>
      </c>
      <c r="C117" s="6" t="s">
        <v>867</v>
      </c>
      <c r="D117" s="6" t="s">
        <v>868</v>
      </c>
      <c r="E117" s="6" t="s">
        <v>869</v>
      </c>
      <c r="F117" s="7">
        <v>46752.0</v>
      </c>
      <c r="G117" s="6" t="s">
        <v>809</v>
      </c>
      <c r="H117" s="6" t="s">
        <v>870</v>
      </c>
      <c r="I117" s="12" t="s">
        <v>871</v>
      </c>
      <c r="J117" s="6" t="s">
        <v>49</v>
      </c>
      <c r="K117" s="6" t="s">
        <v>24</v>
      </c>
      <c r="L117" s="10" t="s">
        <v>872</v>
      </c>
      <c r="M117" s="9"/>
      <c r="N117" s="6" t="b">
        <v>1</v>
      </c>
      <c r="O117" s="6" t="b">
        <v>1</v>
      </c>
      <c r="P117" s="9" t="str">
        <f>IFERROR(__xludf.DUMMYFUNCTION("SPARKLINE(COUNTIF(N117:O117,TRUE),{""charttype"",""bar"";""max"",2;""color1"",IF(COUNTIF(N117:O117, TRUE)=2, ""green"", ""yellow"")})"),"")</f>
        <v/>
      </c>
      <c r="Q117" s="6" t="s">
        <v>26</v>
      </c>
    </row>
    <row r="118">
      <c r="A118" s="5">
        <v>46125.82362376158</v>
      </c>
      <c r="B118" s="6" t="s">
        <v>873</v>
      </c>
      <c r="C118" s="6" t="s">
        <v>874</v>
      </c>
      <c r="D118" s="6" t="s">
        <v>875</v>
      </c>
      <c r="E118" s="6" t="s">
        <v>876</v>
      </c>
      <c r="F118" s="7">
        <v>46387.0</v>
      </c>
      <c r="G118" s="6" t="s">
        <v>62</v>
      </c>
      <c r="H118" s="6" t="s">
        <v>877</v>
      </c>
      <c r="I118" s="12" t="s">
        <v>878</v>
      </c>
      <c r="J118" s="6" t="s">
        <v>49</v>
      </c>
      <c r="K118" s="6" t="s">
        <v>24</v>
      </c>
      <c r="L118" s="10" t="s">
        <v>879</v>
      </c>
      <c r="M118" s="9"/>
      <c r="N118" s="6" t="b">
        <v>1</v>
      </c>
      <c r="O118" s="6" t="b">
        <v>1</v>
      </c>
      <c r="P118" s="9" t="str">
        <f>IFERROR(__xludf.DUMMYFUNCTION("SPARKLINE(COUNTIF(N118:O118,TRUE),{""charttype"",""bar"";""max"",2;""color1"",IF(COUNTIF(N118:O118, TRUE)=2, ""green"", ""yellow"")})"),"")</f>
        <v/>
      </c>
      <c r="Q118" s="6" t="s">
        <v>26</v>
      </c>
    </row>
    <row r="119">
      <c r="A119" s="5">
        <v>46125.70185712963</v>
      </c>
      <c r="B119" s="6" t="s">
        <v>880</v>
      </c>
      <c r="C119" s="6" t="s">
        <v>881</v>
      </c>
      <c r="D119" s="6" t="s">
        <v>882</v>
      </c>
      <c r="E119" s="6" t="s">
        <v>883</v>
      </c>
      <c r="F119" s="7">
        <v>46387.0</v>
      </c>
      <c r="G119" s="6" t="s">
        <v>438</v>
      </c>
      <c r="H119" s="6" t="s">
        <v>884</v>
      </c>
      <c r="I119" s="12" t="s">
        <v>885</v>
      </c>
      <c r="J119" s="6" t="s">
        <v>49</v>
      </c>
      <c r="K119" s="6" t="s">
        <v>24</v>
      </c>
      <c r="L119" s="10" t="s">
        <v>886</v>
      </c>
      <c r="M119" s="9"/>
      <c r="N119" s="6" t="b">
        <v>1</v>
      </c>
      <c r="O119" s="6" t="b">
        <v>1</v>
      </c>
      <c r="P119" s="9" t="str">
        <f>IFERROR(__xludf.DUMMYFUNCTION("SPARKLINE(COUNTIF(N119:O119,TRUE),{""charttype"",""bar"";""max"",2;""color1"",IF(COUNTIF(N119:O119, TRUE)=2, ""green"", ""yellow"")})"),"")</f>
        <v/>
      </c>
      <c r="Q119" s="6" t="s">
        <v>26</v>
      </c>
    </row>
    <row r="120">
      <c r="A120" s="5">
        <v>46125.888776747684</v>
      </c>
      <c r="B120" s="6" t="s">
        <v>887</v>
      </c>
      <c r="C120" s="6" t="s">
        <v>888</v>
      </c>
      <c r="D120" s="6" t="s">
        <v>889</v>
      </c>
      <c r="E120" s="6" t="s">
        <v>890</v>
      </c>
      <c r="F120" s="7">
        <v>46387.0</v>
      </c>
      <c r="G120" s="6" t="s">
        <v>891</v>
      </c>
      <c r="H120" s="6" t="s">
        <v>892</v>
      </c>
      <c r="I120" s="8" t="s">
        <v>893</v>
      </c>
      <c r="J120" s="6" t="s">
        <v>49</v>
      </c>
      <c r="K120" s="6" t="s">
        <v>24</v>
      </c>
      <c r="L120" s="10" t="s">
        <v>894</v>
      </c>
      <c r="M120" s="9"/>
      <c r="N120" s="6" t="b">
        <v>1</v>
      </c>
      <c r="O120" s="6" t="b">
        <v>1</v>
      </c>
      <c r="P120" s="9" t="str">
        <f>IFERROR(__xludf.DUMMYFUNCTION("SPARKLINE(COUNTIF(N120:O120,TRUE),{""charttype"",""bar"";""max"",2;""color1"",IF(COUNTIF(N120:O120, TRUE)=2, ""green"", ""yellow"")})"),"")</f>
        <v/>
      </c>
      <c r="Q120" s="6" t="s">
        <v>26</v>
      </c>
    </row>
    <row r="121">
      <c r="A121" s="5">
        <v>46125.89646263889</v>
      </c>
      <c r="B121" s="6" t="s">
        <v>895</v>
      </c>
      <c r="C121" s="6" t="s">
        <v>896</v>
      </c>
      <c r="D121" s="6" t="s">
        <v>897</v>
      </c>
      <c r="E121" s="6" t="s">
        <v>898</v>
      </c>
      <c r="F121" s="7">
        <v>46369.0</v>
      </c>
      <c r="G121" s="6" t="s">
        <v>461</v>
      </c>
      <c r="H121" s="6" t="s">
        <v>899</v>
      </c>
      <c r="I121" s="8" t="s">
        <v>900</v>
      </c>
      <c r="J121" s="6" t="s">
        <v>49</v>
      </c>
      <c r="K121" s="6" t="s">
        <v>24</v>
      </c>
      <c r="L121" s="10" t="s">
        <v>901</v>
      </c>
      <c r="M121" s="9"/>
      <c r="N121" s="6" t="b">
        <v>1</v>
      </c>
      <c r="O121" s="6" t="b">
        <v>1</v>
      </c>
      <c r="P121" s="9" t="str">
        <f>IFERROR(__xludf.DUMMYFUNCTION("SPARKLINE(COUNTIF(N121:O121,TRUE),{""charttype"",""bar"";""max"",2;""color1"",IF(COUNTIF(N121:O121, TRUE)=2, ""green"", ""yellow"")})"),"")</f>
        <v/>
      </c>
      <c r="Q121" s="6" t="s">
        <v>26</v>
      </c>
    </row>
    <row r="122">
      <c r="A122" s="5">
        <v>46125.905440243056</v>
      </c>
      <c r="B122" s="6" t="s">
        <v>902</v>
      </c>
      <c r="C122" s="6" t="s">
        <v>903</v>
      </c>
      <c r="D122" s="6" t="s">
        <v>904</v>
      </c>
      <c r="E122" s="6" t="s">
        <v>905</v>
      </c>
      <c r="F122" s="7">
        <v>46387.0</v>
      </c>
      <c r="G122" s="6" t="s">
        <v>228</v>
      </c>
      <c r="H122" s="6" t="s">
        <v>906</v>
      </c>
      <c r="I122" s="12" t="s">
        <v>907</v>
      </c>
      <c r="J122" s="6" t="s">
        <v>49</v>
      </c>
      <c r="K122" s="6" t="s">
        <v>24</v>
      </c>
      <c r="L122" s="10" t="s">
        <v>908</v>
      </c>
      <c r="M122" s="12" t="s">
        <v>909</v>
      </c>
      <c r="N122" s="6" t="b">
        <v>1</v>
      </c>
      <c r="O122" s="6" t="b">
        <v>1</v>
      </c>
      <c r="P122" s="9" t="str">
        <f>IFERROR(__xludf.DUMMYFUNCTION("SPARKLINE(COUNTIF(N122:O122,TRUE),{""charttype"",""bar"";""max"",2;""color1"",IF(COUNTIF(N122:O122, TRUE)=2, ""green"", ""yellow"")})"),"")</f>
        <v/>
      </c>
      <c r="Q122" s="6" t="s">
        <v>26</v>
      </c>
    </row>
    <row r="123">
      <c r="A123" s="5">
        <v>46125.989897569445</v>
      </c>
      <c r="B123" s="6" t="s">
        <v>910</v>
      </c>
      <c r="C123" s="6" t="s">
        <v>911</v>
      </c>
      <c r="D123" s="6" t="s">
        <v>912</v>
      </c>
      <c r="E123" s="6" t="s">
        <v>913</v>
      </c>
      <c r="F123" s="7">
        <v>46387.0</v>
      </c>
      <c r="G123" s="6" t="s">
        <v>728</v>
      </c>
      <c r="H123" s="6" t="s">
        <v>914</v>
      </c>
      <c r="I123" s="12" t="s">
        <v>915</v>
      </c>
      <c r="J123" s="6" t="s">
        <v>49</v>
      </c>
      <c r="K123" s="6" t="s">
        <v>24</v>
      </c>
      <c r="L123" s="10" t="s">
        <v>916</v>
      </c>
      <c r="M123" s="9"/>
      <c r="N123" s="6" t="b">
        <v>1</v>
      </c>
      <c r="O123" s="6" t="b">
        <v>1</v>
      </c>
      <c r="P123" s="9" t="str">
        <f>IFERROR(__xludf.DUMMYFUNCTION("SPARKLINE(COUNTIF(N123:O123,TRUE),{""charttype"",""bar"";""max"",2;""color1"",IF(COUNTIF(N123:O123, TRUE)=2, ""green"", ""yellow"")})"),"")</f>
        <v/>
      </c>
      <c r="Q123" s="6" t="s">
        <v>26</v>
      </c>
    </row>
    <row r="124">
      <c r="A124" s="5">
        <v>46126.335974050926</v>
      </c>
      <c r="B124" s="6" t="s">
        <v>917</v>
      </c>
      <c r="C124" s="6" t="s">
        <v>918</v>
      </c>
      <c r="D124" s="6" t="s">
        <v>919</v>
      </c>
      <c r="E124" s="6" t="s">
        <v>920</v>
      </c>
      <c r="F124" s="7">
        <v>46387.0</v>
      </c>
      <c r="G124" s="6" t="s">
        <v>137</v>
      </c>
      <c r="H124" s="6" t="s">
        <v>921</v>
      </c>
      <c r="I124" s="12" t="s">
        <v>922</v>
      </c>
      <c r="J124" s="6" t="s">
        <v>49</v>
      </c>
      <c r="K124" s="6" t="s">
        <v>24</v>
      </c>
      <c r="L124" s="10" t="s">
        <v>923</v>
      </c>
      <c r="M124" s="9"/>
      <c r="N124" s="6" t="b">
        <v>1</v>
      </c>
      <c r="O124" s="6" t="b">
        <v>1</v>
      </c>
      <c r="P124" s="9" t="str">
        <f>IFERROR(__xludf.DUMMYFUNCTION("SPARKLINE(COUNTIF(N124:O124,TRUE),{""charttype"",""bar"";""max"",2;""color1"",IF(COUNTIF(N124:O124, TRUE)=2, ""green"", ""yellow"")})"),"")</f>
        <v/>
      </c>
      <c r="Q124" s="6" t="s">
        <v>26</v>
      </c>
    </row>
    <row r="125">
      <c r="A125" s="5">
        <v>46126.517315694444</v>
      </c>
      <c r="B125" s="6" t="s">
        <v>924</v>
      </c>
      <c r="C125" s="6" t="s">
        <v>925</v>
      </c>
      <c r="D125" s="6" t="s">
        <v>926</v>
      </c>
      <c r="E125" s="6">
        <v>0.0</v>
      </c>
      <c r="F125" s="7">
        <v>46744.0</v>
      </c>
      <c r="G125" s="6" t="s">
        <v>189</v>
      </c>
      <c r="H125" s="6" t="s">
        <v>927</v>
      </c>
      <c r="I125" s="12" t="s">
        <v>928</v>
      </c>
      <c r="J125" s="6" t="s">
        <v>49</v>
      </c>
      <c r="K125" s="6" t="s">
        <v>24</v>
      </c>
      <c r="L125" s="10" t="s">
        <v>929</v>
      </c>
      <c r="M125" s="9"/>
      <c r="N125" s="6" t="b">
        <v>1</v>
      </c>
      <c r="O125" s="6" t="b">
        <v>1</v>
      </c>
      <c r="P125" s="9" t="str">
        <f>IFERROR(__xludf.DUMMYFUNCTION("SPARKLINE(COUNTIF(N125:O125,TRUE),{""charttype"",""bar"";""max"",2;""color1"",IF(COUNTIF(N125:O125, TRUE)=2, ""green"", ""yellow"")})"),"")</f>
        <v/>
      </c>
      <c r="Q125" s="6" t="s">
        <v>26</v>
      </c>
      <c r="R125" s="25" t="s">
        <v>930</v>
      </c>
    </row>
    <row r="126">
      <c r="A126" s="5">
        <v>46126.54802674768</v>
      </c>
      <c r="B126" s="6" t="s">
        <v>931</v>
      </c>
      <c r="C126" s="6" t="s">
        <v>932</v>
      </c>
      <c r="D126" s="6" t="s">
        <v>933</v>
      </c>
      <c r="E126" s="6" t="s">
        <v>934</v>
      </c>
      <c r="F126" s="7">
        <v>47101.0</v>
      </c>
      <c r="G126" s="6" t="s">
        <v>205</v>
      </c>
      <c r="H126" s="6" t="s">
        <v>935</v>
      </c>
      <c r="I126" s="12" t="s">
        <v>936</v>
      </c>
      <c r="J126" s="6" t="s">
        <v>49</v>
      </c>
      <c r="K126" s="6" t="s">
        <v>24</v>
      </c>
      <c r="L126" s="10" t="s">
        <v>937</v>
      </c>
      <c r="M126" s="9"/>
      <c r="N126" s="6" t="b">
        <v>1</v>
      </c>
      <c r="O126" s="6" t="b">
        <v>1</v>
      </c>
      <c r="P126" s="9" t="str">
        <f>IFERROR(__xludf.DUMMYFUNCTION("SPARKLINE(COUNTIF(N126:O126,TRUE),{""charttype"",""bar"";""max"",2;""color1"",IF(COUNTIF(N126:O126, TRUE)=2, ""green"", ""yellow"")})"),"")</f>
        <v/>
      </c>
      <c r="Q126" s="6" t="s">
        <v>26</v>
      </c>
    </row>
    <row r="127">
      <c r="A127" s="5">
        <v>46126.55866145833</v>
      </c>
      <c r="B127" s="6" t="s">
        <v>938</v>
      </c>
      <c r="C127" s="6" t="s">
        <v>939</v>
      </c>
      <c r="D127" s="6" t="s">
        <v>940</v>
      </c>
      <c r="E127" s="6" t="s">
        <v>941</v>
      </c>
      <c r="F127" s="7">
        <v>46752.0</v>
      </c>
      <c r="G127" s="6" t="s">
        <v>205</v>
      </c>
      <c r="H127" s="6" t="s">
        <v>942</v>
      </c>
      <c r="I127" s="12" t="s">
        <v>943</v>
      </c>
      <c r="J127" s="6" t="s">
        <v>49</v>
      </c>
      <c r="K127" s="6" t="s">
        <v>24</v>
      </c>
      <c r="L127" s="10" t="s">
        <v>944</v>
      </c>
      <c r="M127" s="9"/>
      <c r="N127" s="6" t="b">
        <v>1</v>
      </c>
      <c r="O127" s="6" t="b">
        <v>1</v>
      </c>
      <c r="P127" s="9" t="str">
        <f>IFERROR(__xludf.DUMMYFUNCTION("SPARKLINE(COUNTIF(N127:O127,TRUE),{""charttype"",""bar"";""max"",2;""color1"",IF(COUNTIF(N127:O127, TRUE)=2, ""green"", ""yellow"")})"),"")</f>
        <v/>
      </c>
      <c r="Q127" s="6" t="s">
        <v>26</v>
      </c>
    </row>
    <row r="128">
      <c r="A128" s="5">
        <v>46126.57195883102</v>
      </c>
      <c r="B128" s="6" t="s">
        <v>945</v>
      </c>
      <c r="C128" s="6" t="s">
        <v>946</v>
      </c>
      <c r="D128" s="6" t="s">
        <v>947</v>
      </c>
      <c r="E128" s="6">
        <v>12868.0</v>
      </c>
      <c r="F128" s="7">
        <v>46752.0</v>
      </c>
      <c r="G128" s="6" t="s">
        <v>948</v>
      </c>
      <c r="H128" s="6" t="s">
        <v>949</v>
      </c>
      <c r="I128" s="12" t="s">
        <v>950</v>
      </c>
      <c r="J128" s="6" t="s">
        <v>49</v>
      </c>
      <c r="K128" s="6" t="s">
        <v>24</v>
      </c>
      <c r="L128" s="10" t="s">
        <v>951</v>
      </c>
      <c r="M128" s="9"/>
      <c r="N128" s="6" t="b">
        <v>1</v>
      </c>
      <c r="O128" s="6" t="b">
        <v>1</v>
      </c>
      <c r="P128" s="9" t="str">
        <f>IFERROR(__xludf.DUMMYFUNCTION("SPARKLINE(COUNTIF(N128:O128,TRUE),{""charttype"",""bar"";""max"",2;""color1"",IF(COUNTIF(N128:O128, TRUE)=2, ""green"", ""yellow"")})"),"")</f>
        <v/>
      </c>
      <c r="Q128" s="6" t="s">
        <v>26</v>
      </c>
    </row>
    <row r="129">
      <c r="A129" s="5">
        <v>46126.595889432865</v>
      </c>
      <c r="B129" s="6" t="s">
        <v>952</v>
      </c>
      <c r="C129" s="6" t="s">
        <v>953</v>
      </c>
      <c r="D129" s="6" t="s">
        <v>954</v>
      </c>
      <c r="E129" s="6" t="s">
        <v>955</v>
      </c>
      <c r="F129" s="7">
        <v>46387.0</v>
      </c>
      <c r="G129" s="6" t="s">
        <v>948</v>
      </c>
      <c r="H129" s="6" t="s">
        <v>956</v>
      </c>
      <c r="I129" s="8" t="s">
        <v>957</v>
      </c>
      <c r="J129" s="6" t="s">
        <v>49</v>
      </c>
      <c r="K129" s="6" t="s">
        <v>24</v>
      </c>
      <c r="L129" s="10" t="s">
        <v>958</v>
      </c>
      <c r="M129" s="12" t="s">
        <v>959</v>
      </c>
      <c r="N129" s="6" t="b">
        <v>1</v>
      </c>
      <c r="O129" s="6" t="b">
        <v>1</v>
      </c>
      <c r="P129" s="9" t="str">
        <f>IFERROR(__xludf.DUMMYFUNCTION("SPARKLINE(COUNTIF(N129:O129,TRUE),{""charttype"",""bar"";""max"",2;""color1"",IF(COUNTIF(N129:O129, TRUE)=2, ""green"", ""yellow"")})"),"")</f>
        <v/>
      </c>
      <c r="Q129" s="6" t="s">
        <v>26</v>
      </c>
    </row>
    <row r="130">
      <c r="A130" s="5">
        <v>46126.61766744213</v>
      </c>
      <c r="B130" s="6" t="s">
        <v>960</v>
      </c>
      <c r="C130" s="6" t="s">
        <v>961</v>
      </c>
      <c r="D130" s="6" t="s">
        <v>962</v>
      </c>
      <c r="E130" s="6" t="s">
        <v>963</v>
      </c>
      <c r="F130" s="7">
        <v>46752.0</v>
      </c>
      <c r="G130" s="6" t="s">
        <v>46</v>
      </c>
      <c r="H130" s="6" t="s">
        <v>964</v>
      </c>
      <c r="I130" s="12" t="s">
        <v>965</v>
      </c>
      <c r="J130" s="6" t="s">
        <v>49</v>
      </c>
      <c r="K130" s="6" t="s">
        <v>24</v>
      </c>
      <c r="L130" s="10" t="s">
        <v>966</v>
      </c>
      <c r="M130" s="9"/>
      <c r="N130" s="6" t="b">
        <v>1</v>
      </c>
      <c r="O130" s="6" t="b">
        <v>1</v>
      </c>
      <c r="P130" s="9" t="str">
        <f>IFERROR(__xludf.DUMMYFUNCTION("SPARKLINE(COUNTIF(N130:O130,TRUE),{""charttype"",""bar"";""max"",2;""color1"",IF(COUNTIF(N130:O130, TRUE)=2, ""green"", ""yellow"")})"),"")</f>
        <v/>
      </c>
      <c r="Q130" s="6" t="s">
        <v>26</v>
      </c>
    </row>
    <row r="131">
      <c r="A131" s="5">
        <v>46126.63516099537</v>
      </c>
      <c r="B131" s="6" t="s">
        <v>967</v>
      </c>
      <c r="C131" s="6" t="s">
        <v>968</v>
      </c>
      <c r="D131" s="6" t="s">
        <v>969</v>
      </c>
      <c r="E131" s="6" t="s">
        <v>970</v>
      </c>
      <c r="F131" s="7">
        <v>47118.0</v>
      </c>
      <c r="G131" s="6" t="s">
        <v>46</v>
      </c>
      <c r="H131" s="6" t="s">
        <v>971</v>
      </c>
      <c r="I131" s="8" t="s">
        <v>972</v>
      </c>
      <c r="J131" s="6" t="s">
        <v>49</v>
      </c>
      <c r="K131" s="6" t="s">
        <v>24</v>
      </c>
      <c r="L131" s="10" t="s">
        <v>973</v>
      </c>
      <c r="M131" s="9"/>
      <c r="N131" s="6" t="b">
        <v>1</v>
      </c>
      <c r="O131" s="6" t="b">
        <v>1</v>
      </c>
      <c r="P131" s="9" t="str">
        <f>IFERROR(__xludf.DUMMYFUNCTION("SPARKLINE(COUNTIF(N131:O131,TRUE),{""charttype"",""bar"";""max"",2;""color1"",IF(COUNTIF(N131:O131, TRUE)=2, ""green"", ""yellow"")})"),"")</f>
        <v/>
      </c>
      <c r="Q131" s="6" t="s">
        <v>26</v>
      </c>
    </row>
    <row r="132">
      <c r="A132" s="5">
        <v>46126.63414461806</v>
      </c>
      <c r="B132" s="6" t="s">
        <v>974</v>
      </c>
      <c r="C132" s="6" t="s">
        <v>975</v>
      </c>
      <c r="D132" s="6" t="s">
        <v>976</v>
      </c>
      <c r="E132" s="6" t="s">
        <v>977</v>
      </c>
      <c r="F132" s="7">
        <v>46387.0</v>
      </c>
      <c r="G132" s="6" t="s">
        <v>862</v>
      </c>
      <c r="H132" s="6" t="s">
        <v>978</v>
      </c>
      <c r="I132" s="12" t="s">
        <v>979</v>
      </c>
      <c r="J132" s="6" t="s">
        <v>49</v>
      </c>
      <c r="K132" s="6" t="s">
        <v>24</v>
      </c>
      <c r="L132" s="10" t="s">
        <v>980</v>
      </c>
      <c r="M132" s="9"/>
      <c r="N132" s="6" t="b">
        <v>1</v>
      </c>
      <c r="O132" s="6" t="b">
        <v>1</v>
      </c>
      <c r="P132" s="9" t="str">
        <f>IFERROR(__xludf.DUMMYFUNCTION("SPARKLINE(COUNTIF(N132:O132,TRUE),{""charttype"",""bar"";""max"",2;""color1"",IF(COUNTIF(N132:O132, TRUE)=2, ""green"", ""yellow"")})"),"")</f>
        <v/>
      </c>
      <c r="Q132" s="6" t="s">
        <v>26</v>
      </c>
    </row>
    <row r="133">
      <c r="A133" s="5">
        <v>46126.64716494213</v>
      </c>
      <c r="B133" s="6" t="s">
        <v>981</v>
      </c>
      <c r="C133" s="6" t="s">
        <v>982</v>
      </c>
      <c r="D133" s="6" t="s">
        <v>983</v>
      </c>
      <c r="E133" s="6" t="s">
        <v>984</v>
      </c>
      <c r="F133" s="7">
        <v>46387.0</v>
      </c>
      <c r="G133" s="6" t="s">
        <v>862</v>
      </c>
      <c r="H133" s="6" t="s">
        <v>985</v>
      </c>
      <c r="I133" s="12" t="s">
        <v>986</v>
      </c>
      <c r="J133" s="6" t="s">
        <v>49</v>
      </c>
      <c r="K133" s="6" t="s">
        <v>24</v>
      </c>
      <c r="L133" s="6" t="s">
        <v>987</v>
      </c>
      <c r="M133" s="9"/>
      <c r="N133" s="6" t="b">
        <v>1</v>
      </c>
      <c r="O133" s="6" t="b">
        <v>1</v>
      </c>
      <c r="P133" s="9" t="str">
        <f>IFERROR(__xludf.DUMMYFUNCTION("SPARKLINE(COUNTIF(N133:O133,TRUE),{""charttype"",""bar"";""max"",2;""color1"",IF(COUNTIF(N133:O133, TRUE)=2, ""green"", ""yellow"")})"),"")</f>
        <v/>
      </c>
      <c r="Q133" s="6" t="s">
        <v>26</v>
      </c>
    </row>
    <row r="134">
      <c r="A134" s="5">
        <v>46126.65922847222</v>
      </c>
      <c r="B134" s="6" t="s">
        <v>988</v>
      </c>
      <c r="C134" s="6" t="s">
        <v>989</v>
      </c>
      <c r="D134" s="6" t="s">
        <v>990</v>
      </c>
      <c r="E134" s="6" t="s">
        <v>991</v>
      </c>
      <c r="F134" s="7">
        <v>46387.0</v>
      </c>
      <c r="G134" s="6" t="s">
        <v>461</v>
      </c>
      <c r="H134" s="6" t="s">
        <v>992</v>
      </c>
      <c r="I134" s="12" t="s">
        <v>993</v>
      </c>
      <c r="J134" s="6" t="s">
        <v>49</v>
      </c>
      <c r="K134" s="6" t="s">
        <v>24</v>
      </c>
      <c r="L134" s="10" t="s">
        <v>994</v>
      </c>
      <c r="M134" s="9"/>
      <c r="N134" s="6" t="b">
        <v>1</v>
      </c>
      <c r="O134" s="6" t="b">
        <v>1</v>
      </c>
      <c r="P134" s="9" t="str">
        <f>IFERROR(__xludf.DUMMYFUNCTION("SPARKLINE(COUNTIF(N134:O134,TRUE),{""charttype"",""bar"";""max"",2;""color1"",IF(COUNTIF(N134:O134, TRUE)=2, ""green"", ""yellow"")})"),"")</f>
        <v/>
      </c>
      <c r="Q134" s="6" t="s">
        <v>26</v>
      </c>
    </row>
    <row r="135">
      <c r="A135" s="5">
        <v>46126.663740358796</v>
      </c>
      <c r="B135" s="6" t="s">
        <v>995</v>
      </c>
      <c r="C135" s="6" t="s">
        <v>996</v>
      </c>
      <c r="D135" s="6" t="s">
        <v>997</v>
      </c>
      <c r="E135" s="6" t="s">
        <v>998</v>
      </c>
      <c r="F135" s="7">
        <v>47118.0</v>
      </c>
      <c r="G135" s="6" t="s">
        <v>46</v>
      </c>
      <c r="H135" s="6" t="s">
        <v>999</v>
      </c>
      <c r="I135" s="12" t="s">
        <v>1000</v>
      </c>
      <c r="J135" s="6" t="s">
        <v>49</v>
      </c>
      <c r="K135" s="6" t="s">
        <v>24</v>
      </c>
      <c r="L135" s="10" t="s">
        <v>1001</v>
      </c>
      <c r="M135" s="9"/>
      <c r="N135" s="6" t="b">
        <v>1</v>
      </c>
      <c r="O135" s="6" t="b">
        <v>1</v>
      </c>
      <c r="P135" s="9" t="str">
        <f>IFERROR(__xludf.DUMMYFUNCTION("SPARKLINE(COUNTIF(N135:O135,TRUE),{""charttype"",""bar"";""max"",2;""color1"",IF(COUNTIF(N135:O135, TRUE)=2, ""green"", ""yellow"")})"),"")</f>
        <v/>
      </c>
      <c r="Q135" s="6" t="s">
        <v>26</v>
      </c>
    </row>
    <row r="136">
      <c r="A136" s="5">
        <v>46126.665181585646</v>
      </c>
      <c r="B136" s="6" t="s">
        <v>1002</v>
      </c>
      <c r="C136" s="6" t="s">
        <v>1003</v>
      </c>
      <c r="D136" s="6" t="s">
        <v>1004</v>
      </c>
      <c r="E136" s="6" t="s">
        <v>1005</v>
      </c>
      <c r="F136" s="7">
        <v>46387.0</v>
      </c>
      <c r="G136" s="6" t="s">
        <v>862</v>
      </c>
      <c r="H136" s="6" t="s">
        <v>1006</v>
      </c>
      <c r="I136" s="12" t="s">
        <v>1007</v>
      </c>
      <c r="J136" s="6" t="s">
        <v>49</v>
      </c>
      <c r="K136" s="6" t="s">
        <v>24</v>
      </c>
      <c r="L136" s="10" t="s">
        <v>1008</v>
      </c>
      <c r="M136" s="9"/>
      <c r="N136" s="6" t="b">
        <v>1</v>
      </c>
      <c r="O136" s="6" t="b">
        <v>1</v>
      </c>
      <c r="P136" s="9" t="str">
        <f>IFERROR(__xludf.DUMMYFUNCTION("SPARKLINE(COUNTIF(N136:O136,TRUE),{""charttype"",""bar"";""max"",2;""color1"",IF(COUNTIF(N136:O136, TRUE)=2, ""green"", ""yellow"")})"),"")</f>
        <v/>
      </c>
      <c r="Q136" s="6" t="s">
        <v>26</v>
      </c>
    </row>
    <row r="137">
      <c r="A137" s="5">
        <v>46126.72539609954</v>
      </c>
      <c r="B137" s="6" t="s">
        <v>1009</v>
      </c>
      <c r="C137" s="6" t="s">
        <v>1010</v>
      </c>
      <c r="D137" s="6" t="s">
        <v>1011</v>
      </c>
      <c r="E137" s="6" t="s">
        <v>1012</v>
      </c>
      <c r="F137" s="7">
        <v>46387.0</v>
      </c>
      <c r="G137" s="6" t="s">
        <v>1013</v>
      </c>
      <c r="H137" s="6" t="s">
        <v>1014</v>
      </c>
      <c r="I137" s="12" t="s">
        <v>1015</v>
      </c>
      <c r="J137" s="6" t="s">
        <v>49</v>
      </c>
      <c r="K137" s="6" t="s">
        <v>24</v>
      </c>
      <c r="L137" s="10" t="s">
        <v>1016</v>
      </c>
      <c r="M137" s="9"/>
      <c r="N137" s="6" t="b">
        <v>1</v>
      </c>
      <c r="O137" s="6" t="b">
        <v>1</v>
      </c>
      <c r="P137" s="9" t="str">
        <f>IFERROR(__xludf.DUMMYFUNCTION("SPARKLINE(COUNTIF(N137:O137,TRUE),{""charttype"",""bar"";""max"",2;""color1"",IF(COUNTIF(N137:O137, TRUE)=2, ""green"", ""yellow"")})"),"")</f>
        <v/>
      </c>
      <c r="Q137" s="6" t="s">
        <v>26</v>
      </c>
    </row>
    <row r="138">
      <c r="A138" s="5">
        <v>46128.668614421294</v>
      </c>
      <c r="B138" s="6" t="s">
        <v>1017</v>
      </c>
      <c r="C138" s="6" t="s">
        <v>1018</v>
      </c>
      <c r="D138" s="6" t="s">
        <v>1019</v>
      </c>
      <c r="E138" s="6" t="s">
        <v>1020</v>
      </c>
      <c r="F138" s="7">
        <v>46387.0</v>
      </c>
      <c r="G138" s="6" t="s">
        <v>862</v>
      </c>
      <c r="H138" s="6" t="s">
        <v>1021</v>
      </c>
      <c r="I138" s="12" t="s">
        <v>1022</v>
      </c>
      <c r="J138" s="6" t="s">
        <v>49</v>
      </c>
      <c r="K138" s="6" t="s">
        <v>24</v>
      </c>
      <c r="L138" s="10" t="s">
        <v>1023</v>
      </c>
      <c r="M138" s="9"/>
      <c r="N138" s="6" t="b">
        <v>1</v>
      </c>
      <c r="O138" s="6" t="b">
        <v>1</v>
      </c>
      <c r="P138" s="9" t="str">
        <f>IFERROR(__xludf.DUMMYFUNCTION("SPARKLINE(COUNTIF(N138:O138,TRUE),{""charttype"",""bar"";""max"",2;""color1"",IF(COUNTIF(N138:O138, TRUE)=2, ""green"", ""yellow"")})"),"")</f>
        <v/>
      </c>
      <c r="Q138" s="6" t="s">
        <v>26</v>
      </c>
    </row>
    <row r="139">
      <c r="A139" s="5">
        <v>46126.87885291666</v>
      </c>
      <c r="B139" s="6" t="s">
        <v>1024</v>
      </c>
      <c r="C139" s="6" t="s">
        <v>1025</v>
      </c>
      <c r="D139" s="6" t="s">
        <v>1026</v>
      </c>
      <c r="E139" s="6" t="s">
        <v>1027</v>
      </c>
      <c r="F139" s="7">
        <v>46387.0</v>
      </c>
      <c r="G139" s="6" t="s">
        <v>1028</v>
      </c>
      <c r="H139" s="6" t="s">
        <v>1029</v>
      </c>
      <c r="I139" s="12" t="s">
        <v>1030</v>
      </c>
      <c r="J139" s="6" t="s">
        <v>49</v>
      </c>
      <c r="K139" s="6" t="s">
        <v>24</v>
      </c>
      <c r="L139" s="10" t="s">
        <v>1031</v>
      </c>
      <c r="M139" s="9"/>
      <c r="N139" s="6" t="b">
        <v>1</v>
      </c>
      <c r="O139" s="6" t="b">
        <v>1</v>
      </c>
      <c r="P139" s="9" t="str">
        <f>IFERROR(__xludf.DUMMYFUNCTION("SPARKLINE(COUNTIF(N139:O139,TRUE),{""charttype"",""bar"";""max"",2;""color1"",IF(COUNTIF(N139:O139, TRUE)=2, ""green"", ""yellow"")})"),"")</f>
        <v/>
      </c>
      <c r="Q139" s="6" t="s">
        <v>26</v>
      </c>
    </row>
    <row r="140">
      <c r="A140" s="5">
        <v>46126.99411082176</v>
      </c>
      <c r="B140" s="6" t="s">
        <v>1032</v>
      </c>
      <c r="C140" s="6" t="s">
        <v>1033</v>
      </c>
      <c r="D140" s="6" t="s">
        <v>1034</v>
      </c>
      <c r="E140" s="6" t="s">
        <v>1035</v>
      </c>
      <c r="F140" s="7">
        <v>46387.0</v>
      </c>
      <c r="G140" s="6" t="s">
        <v>1013</v>
      </c>
      <c r="H140" s="6" t="s">
        <v>1036</v>
      </c>
      <c r="I140" s="12" t="s">
        <v>1037</v>
      </c>
      <c r="J140" s="6" t="s">
        <v>49</v>
      </c>
      <c r="K140" s="6" t="s">
        <v>24</v>
      </c>
      <c r="L140" s="10" t="s">
        <v>1038</v>
      </c>
      <c r="M140" s="9"/>
      <c r="N140" s="6" t="b">
        <v>1</v>
      </c>
      <c r="O140" s="6" t="b">
        <v>1</v>
      </c>
      <c r="P140" s="9" t="str">
        <f>IFERROR(__xludf.DUMMYFUNCTION("SPARKLINE(COUNTIF(N140:O140,TRUE),{""charttype"",""bar"";""max"",2;""color1"",IF(COUNTIF(N140:O140, TRUE)=2, ""green"", ""yellow"")})"),"")</f>
        <v/>
      </c>
      <c r="Q140" s="6" t="s">
        <v>26</v>
      </c>
    </row>
    <row r="141">
      <c r="A141" s="5">
        <v>46127.04441520834</v>
      </c>
      <c r="B141" s="6" t="s">
        <v>1039</v>
      </c>
      <c r="C141" s="6" t="s">
        <v>1040</v>
      </c>
      <c r="D141" s="6" t="s">
        <v>1041</v>
      </c>
      <c r="E141" s="6" t="s">
        <v>1042</v>
      </c>
      <c r="F141" s="7">
        <v>46752.0</v>
      </c>
      <c r="G141" s="6" t="s">
        <v>728</v>
      </c>
      <c r="H141" s="6" t="s">
        <v>1043</v>
      </c>
      <c r="I141" s="12" t="s">
        <v>1044</v>
      </c>
      <c r="J141" s="6" t="s">
        <v>49</v>
      </c>
      <c r="K141" s="6" t="s">
        <v>24</v>
      </c>
      <c r="L141" s="10" t="s">
        <v>1045</v>
      </c>
      <c r="M141" s="9"/>
      <c r="N141" s="6" t="b">
        <v>0</v>
      </c>
      <c r="O141" s="6" t="b">
        <v>1</v>
      </c>
      <c r="P141" s="9" t="str">
        <f>IFERROR(__xludf.DUMMYFUNCTION("SPARKLINE(COUNTIF(N141:O141,TRUE),{""charttype"",""bar"";""max"",2;""color1"",IF(COUNTIF(N141:O141, TRUE)=2, ""green"", ""yellow"")})"),"")</f>
        <v/>
      </c>
      <c r="Q141" s="6" t="s">
        <v>26</v>
      </c>
      <c r="R141" s="13" t="s">
        <v>95</v>
      </c>
    </row>
    <row r="142">
      <c r="A142" s="15">
        <v>46127.42557515047</v>
      </c>
      <c r="B142" s="16" t="s">
        <v>1046</v>
      </c>
      <c r="C142" s="16" t="s">
        <v>1047</v>
      </c>
      <c r="D142" s="16" t="s">
        <v>1048</v>
      </c>
      <c r="E142" s="16" t="s">
        <v>1049</v>
      </c>
      <c r="F142" s="17">
        <v>46387.0</v>
      </c>
      <c r="G142" s="16" t="s">
        <v>205</v>
      </c>
      <c r="H142" s="16" t="s">
        <v>1050</v>
      </c>
      <c r="I142" s="18" t="s">
        <v>1051</v>
      </c>
      <c r="J142" s="16" t="s">
        <v>49</v>
      </c>
      <c r="K142" s="16" t="s">
        <v>24</v>
      </c>
      <c r="L142" s="19" t="s">
        <v>1052</v>
      </c>
      <c r="M142" s="20"/>
      <c r="N142" s="16" t="b">
        <v>1</v>
      </c>
      <c r="O142" s="16" t="b">
        <v>0</v>
      </c>
      <c r="P142" s="20" t="str">
        <f>IFERROR(__xludf.DUMMYFUNCTION("SPARKLINE(COUNTIF(N142:O142,TRUE),{""charttype"",""bar"";""max"",2;""color1"",IF(COUNTIF(N142:O142, TRUE)=2, ""green"", ""yellow"")})"),"")</f>
        <v/>
      </c>
      <c r="Q142" s="16" t="s">
        <v>509</v>
      </c>
      <c r="R142" s="26" t="s">
        <v>1053</v>
      </c>
    </row>
    <row r="143">
      <c r="A143" s="5">
        <v>46127.436828958336</v>
      </c>
      <c r="B143" s="6" t="s">
        <v>1054</v>
      </c>
      <c r="C143" s="6" t="s">
        <v>1055</v>
      </c>
      <c r="D143" s="6" t="s">
        <v>1056</v>
      </c>
      <c r="E143" s="6" t="s">
        <v>1057</v>
      </c>
      <c r="F143" s="7">
        <v>46387.0</v>
      </c>
      <c r="G143" s="6" t="s">
        <v>948</v>
      </c>
      <c r="H143" s="6" t="s">
        <v>1058</v>
      </c>
      <c r="I143" s="8" t="s">
        <v>1059</v>
      </c>
      <c r="J143" s="6" t="s">
        <v>49</v>
      </c>
      <c r="K143" s="6" t="s">
        <v>24</v>
      </c>
      <c r="L143" s="10" t="s">
        <v>1060</v>
      </c>
      <c r="M143" s="9"/>
      <c r="N143" s="6" t="b">
        <v>1</v>
      </c>
      <c r="O143" s="6" t="b">
        <v>1</v>
      </c>
      <c r="P143" s="9" t="str">
        <f>IFERROR(__xludf.DUMMYFUNCTION("SPARKLINE(COUNTIF(N143:O143,TRUE),{""charttype"",""bar"";""max"",2;""color1"",IF(COUNTIF(N143:O143, TRUE)=2, ""green"", ""yellow"")})"),"")</f>
        <v/>
      </c>
      <c r="Q143" s="6" t="s">
        <v>26</v>
      </c>
    </row>
    <row r="144">
      <c r="A144" s="5">
        <v>46127.4501084375</v>
      </c>
      <c r="B144" s="6" t="s">
        <v>1061</v>
      </c>
      <c r="C144" s="6" t="s">
        <v>1062</v>
      </c>
      <c r="D144" s="6" t="s">
        <v>1063</v>
      </c>
      <c r="E144" s="6" t="s">
        <v>1064</v>
      </c>
      <c r="F144" s="7">
        <v>46387.0</v>
      </c>
      <c r="G144" s="6" t="s">
        <v>862</v>
      </c>
      <c r="H144" s="6" t="s">
        <v>1065</v>
      </c>
      <c r="I144" s="12" t="s">
        <v>1066</v>
      </c>
      <c r="J144" s="6" t="s">
        <v>49</v>
      </c>
      <c r="K144" s="6" t="s">
        <v>24</v>
      </c>
      <c r="L144" s="10" t="s">
        <v>1067</v>
      </c>
      <c r="M144" s="9"/>
      <c r="N144" s="6" t="b">
        <v>1</v>
      </c>
      <c r="O144" s="6" t="b">
        <v>1</v>
      </c>
      <c r="P144" s="9" t="str">
        <f>IFERROR(__xludf.DUMMYFUNCTION("SPARKLINE(COUNTIF(N144:O144,TRUE),{""charttype"",""bar"";""max"",2;""color1"",IF(COUNTIF(N144:O144, TRUE)=2, ""green"", ""yellow"")})"),"")</f>
        <v/>
      </c>
      <c r="Q144" s="6" t="s">
        <v>26</v>
      </c>
    </row>
    <row r="145">
      <c r="A145" s="5">
        <v>46127.59951380787</v>
      </c>
      <c r="B145" s="6" t="s">
        <v>404</v>
      </c>
      <c r="C145" s="6" t="s">
        <v>1068</v>
      </c>
      <c r="D145" s="6" t="s">
        <v>1069</v>
      </c>
      <c r="E145" s="6" t="s">
        <v>1070</v>
      </c>
      <c r="F145" s="7">
        <v>46387.0</v>
      </c>
      <c r="G145" s="6" t="s">
        <v>189</v>
      </c>
      <c r="H145" s="6" t="s">
        <v>1071</v>
      </c>
      <c r="I145" s="12" t="s">
        <v>1072</v>
      </c>
      <c r="J145" s="6" t="s">
        <v>49</v>
      </c>
      <c r="K145" s="6" t="s">
        <v>24</v>
      </c>
      <c r="L145" s="10" t="s">
        <v>1073</v>
      </c>
      <c r="M145" s="9"/>
      <c r="N145" s="6" t="b">
        <v>1</v>
      </c>
      <c r="O145" s="6" t="b">
        <v>1</v>
      </c>
      <c r="P145" s="9" t="str">
        <f>IFERROR(__xludf.DUMMYFUNCTION("SPARKLINE(COUNTIF(N145:O145,TRUE),{""charttype"",""bar"";""max"",2;""color1"",IF(COUNTIF(N145:O145, TRUE)=2, ""green"", ""yellow"")})"),"")</f>
        <v/>
      </c>
      <c r="Q145" s="6" t="s">
        <v>26</v>
      </c>
      <c r="R145" s="27" t="s">
        <v>1074</v>
      </c>
    </row>
    <row r="146">
      <c r="A146" s="5">
        <v>46127.61970627315</v>
      </c>
      <c r="B146" s="6" t="s">
        <v>1075</v>
      </c>
      <c r="C146" s="6" t="s">
        <v>1076</v>
      </c>
      <c r="D146" s="6" t="s">
        <v>1077</v>
      </c>
      <c r="E146" s="6" t="s">
        <v>1078</v>
      </c>
      <c r="F146" s="7">
        <v>46387.0</v>
      </c>
      <c r="G146" s="6" t="s">
        <v>228</v>
      </c>
      <c r="H146" s="6" t="s">
        <v>1079</v>
      </c>
      <c r="I146" s="8" t="s">
        <v>1080</v>
      </c>
      <c r="J146" s="6" t="s">
        <v>49</v>
      </c>
      <c r="K146" s="6" t="s">
        <v>24</v>
      </c>
      <c r="L146" s="10" t="s">
        <v>1081</v>
      </c>
      <c r="M146" s="9"/>
      <c r="N146" s="6" t="b">
        <v>1</v>
      </c>
      <c r="O146" s="6" t="b">
        <v>1</v>
      </c>
      <c r="P146" s="9" t="str">
        <f>IFERROR(__xludf.DUMMYFUNCTION("SPARKLINE(COUNTIF(N146:O146,TRUE),{""charttype"",""bar"";""max"",2;""color1"",IF(COUNTIF(N146:O146, TRUE)=2, ""green"", ""yellow"")})"),"")</f>
        <v/>
      </c>
      <c r="Q146" s="6" t="s">
        <v>26</v>
      </c>
    </row>
    <row r="147">
      <c r="A147" s="15">
        <v>46127.65169817129</v>
      </c>
      <c r="B147" s="16" t="s">
        <v>1082</v>
      </c>
      <c r="C147" s="16" t="s">
        <v>1083</v>
      </c>
      <c r="D147" s="16" t="s">
        <v>1084</v>
      </c>
      <c r="E147" s="16" t="s">
        <v>1085</v>
      </c>
      <c r="F147" s="17">
        <v>46387.0</v>
      </c>
      <c r="G147" s="16" t="s">
        <v>1086</v>
      </c>
      <c r="H147" s="16" t="s">
        <v>1087</v>
      </c>
      <c r="I147" s="18" t="s">
        <v>1088</v>
      </c>
      <c r="J147" s="16" t="s">
        <v>49</v>
      </c>
      <c r="K147" s="16" t="s">
        <v>24</v>
      </c>
      <c r="L147" s="19" t="s">
        <v>1089</v>
      </c>
      <c r="M147" s="20"/>
      <c r="N147" s="16" t="b">
        <v>1</v>
      </c>
      <c r="O147" s="20" t="b">
        <v>0</v>
      </c>
      <c r="P147" s="20" t="str">
        <f>IFERROR(__xludf.DUMMYFUNCTION("SPARKLINE(COUNTIF(N147:O147,TRUE),{""charttype"",""bar"";""max"",2;""color1"",IF(COUNTIF(N147:O147, TRUE)=2, ""green"", ""yellow"")})"),"")</f>
        <v/>
      </c>
      <c r="Q147" s="16" t="s">
        <v>509</v>
      </c>
      <c r="R147" s="24" t="s">
        <v>790</v>
      </c>
    </row>
    <row r="148">
      <c r="A148" s="5">
        <v>46127.68698951389</v>
      </c>
      <c r="B148" s="6" t="s">
        <v>1090</v>
      </c>
      <c r="C148" s="6" t="s">
        <v>1091</v>
      </c>
      <c r="D148" s="6" t="s">
        <v>1092</v>
      </c>
      <c r="E148" s="6" t="s">
        <v>1093</v>
      </c>
      <c r="F148" s="7">
        <v>46387.0</v>
      </c>
      <c r="G148" s="6" t="s">
        <v>438</v>
      </c>
      <c r="H148" s="6" t="s">
        <v>1094</v>
      </c>
      <c r="I148" s="12" t="s">
        <v>1095</v>
      </c>
      <c r="J148" s="6" t="s">
        <v>49</v>
      </c>
      <c r="K148" s="6" t="s">
        <v>24</v>
      </c>
      <c r="L148" s="10" t="s">
        <v>1096</v>
      </c>
      <c r="M148" s="9"/>
      <c r="N148" s="6" t="b">
        <v>1</v>
      </c>
      <c r="O148" s="6" t="b">
        <v>1</v>
      </c>
      <c r="P148" s="9" t="str">
        <f>IFERROR(__xludf.DUMMYFUNCTION("SPARKLINE(COUNTIF(N148:O148,TRUE),{""charttype"",""bar"";""max"",2;""color1"",IF(COUNTIF(N148:O148, TRUE)=2, ""green"", ""yellow"")})"),"")</f>
        <v/>
      </c>
      <c r="Q148" s="6" t="s">
        <v>26</v>
      </c>
      <c r="R148" s="27" t="s">
        <v>1074</v>
      </c>
    </row>
    <row r="149">
      <c r="A149" s="5">
        <v>46127.70025693287</v>
      </c>
      <c r="B149" s="6" t="s">
        <v>1097</v>
      </c>
      <c r="C149" s="6" t="s">
        <v>1098</v>
      </c>
      <c r="D149" s="6" t="s">
        <v>1099</v>
      </c>
      <c r="E149" s="6" t="s">
        <v>1100</v>
      </c>
      <c r="F149" s="7">
        <v>46387.0</v>
      </c>
      <c r="G149" s="6" t="s">
        <v>438</v>
      </c>
      <c r="H149" s="6" t="s">
        <v>1101</v>
      </c>
      <c r="I149" s="12" t="s">
        <v>1102</v>
      </c>
      <c r="J149" s="6" t="s">
        <v>49</v>
      </c>
      <c r="K149" s="6" t="s">
        <v>24</v>
      </c>
      <c r="L149" s="10" t="s">
        <v>1103</v>
      </c>
      <c r="M149" s="9"/>
      <c r="N149" s="6" t="b">
        <v>1</v>
      </c>
      <c r="O149" s="6" t="b">
        <v>1</v>
      </c>
      <c r="P149" s="9" t="str">
        <f>IFERROR(__xludf.DUMMYFUNCTION("SPARKLINE(COUNTIF(N149:O149,TRUE),{""charttype"",""bar"";""max"",2;""color1"",IF(COUNTIF(N149:O149, TRUE)=2, ""green"", ""yellow"")})"),"")</f>
        <v/>
      </c>
      <c r="Q149" s="6" t="s">
        <v>26</v>
      </c>
      <c r="R149" s="27" t="s">
        <v>1074</v>
      </c>
    </row>
    <row r="150">
      <c r="A150" s="5">
        <v>46127.72202030093</v>
      </c>
      <c r="B150" s="6" t="s">
        <v>1104</v>
      </c>
      <c r="C150" s="6" t="s">
        <v>1105</v>
      </c>
      <c r="D150" s="6" t="s">
        <v>1106</v>
      </c>
      <c r="E150" s="6" t="s">
        <v>1107</v>
      </c>
      <c r="F150" s="7">
        <v>46387.0</v>
      </c>
      <c r="G150" s="6" t="s">
        <v>862</v>
      </c>
      <c r="H150" s="6" t="s">
        <v>1108</v>
      </c>
      <c r="I150" s="12" t="s">
        <v>1109</v>
      </c>
      <c r="J150" s="6" t="s">
        <v>49</v>
      </c>
      <c r="K150" s="6" t="s">
        <v>24</v>
      </c>
      <c r="L150" s="10" t="s">
        <v>1110</v>
      </c>
      <c r="M150" s="9"/>
      <c r="N150" s="6" t="b">
        <v>1</v>
      </c>
      <c r="O150" s="6" t="b">
        <v>1</v>
      </c>
      <c r="P150" s="9" t="str">
        <f>IFERROR(__xludf.DUMMYFUNCTION("SPARKLINE(COUNTIF(N150:O150,TRUE),{""charttype"",""bar"";""max"",2;""color1"",IF(COUNTIF(N150:O150, TRUE)=2, ""green"", ""yellow"")})"),"")</f>
        <v/>
      </c>
      <c r="Q150" s="6" t="s">
        <v>26</v>
      </c>
    </row>
    <row r="151">
      <c r="A151" s="5">
        <v>46127.80517898148</v>
      </c>
      <c r="B151" s="6" t="s">
        <v>1111</v>
      </c>
      <c r="C151" s="6" t="s">
        <v>1112</v>
      </c>
      <c r="D151" s="6" t="s">
        <v>1113</v>
      </c>
      <c r="E151" s="6" t="s">
        <v>1114</v>
      </c>
      <c r="F151" s="7">
        <v>47118.0</v>
      </c>
      <c r="G151" s="6" t="s">
        <v>1115</v>
      </c>
      <c r="H151" s="6" t="s">
        <v>1116</v>
      </c>
      <c r="I151" s="12" t="s">
        <v>1117</v>
      </c>
      <c r="J151" s="6" t="s">
        <v>49</v>
      </c>
      <c r="K151" s="6" t="s">
        <v>24</v>
      </c>
      <c r="L151" s="10" t="s">
        <v>1118</v>
      </c>
      <c r="M151" s="9"/>
      <c r="N151" s="6" t="b">
        <v>1</v>
      </c>
      <c r="O151" s="6" t="b">
        <v>1</v>
      </c>
      <c r="P151" s="9" t="str">
        <f>IFERROR(__xludf.DUMMYFUNCTION("SPARKLINE(COUNTIF(N151:O151,TRUE),{""charttype"",""bar"";""max"",2;""color1"",IF(COUNTIF(N151:O151, TRUE)=2, ""green"", ""yellow"")})"),"")</f>
        <v/>
      </c>
      <c r="Q151" s="6" t="s">
        <v>26</v>
      </c>
      <c r="R151" s="27" t="s">
        <v>1074</v>
      </c>
    </row>
    <row r="152">
      <c r="A152" s="5">
        <v>46127.86150623843</v>
      </c>
      <c r="B152" s="6" t="s">
        <v>1119</v>
      </c>
      <c r="C152" s="6" t="s">
        <v>1120</v>
      </c>
      <c r="D152" s="6" t="s">
        <v>1121</v>
      </c>
      <c r="E152" s="6" t="s">
        <v>1122</v>
      </c>
      <c r="F152" s="7">
        <v>47026.0</v>
      </c>
      <c r="G152" s="6" t="s">
        <v>438</v>
      </c>
      <c r="H152" s="6" t="s">
        <v>1123</v>
      </c>
      <c r="I152" s="12" t="s">
        <v>1124</v>
      </c>
      <c r="J152" s="6" t="s">
        <v>49</v>
      </c>
      <c r="K152" s="6" t="s">
        <v>24</v>
      </c>
      <c r="L152" s="10" t="s">
        <v>1125</v>
      </c>
      <c r="M152" s="9"/>
      <c r="N152" s="6" t="b">
        <v>1</v>
      </c>
      <c r="O152" s="6" t="b">
        <v>1</v>
      </c>
      <c r="P152" s="9" t="str">
        <f>IFERROR(__xludf.DUMMYFUNCTION("SPARKLINE(COUNTIF(N152:O152,TRUE),{""charttype"",""bar"";""max"",2;""color1"",IF(COUNTIF(N152:O152, TRUE)=2, ""green"", ""yellow"")})"),"")</f>
        <v/>
      </c>
      <c r="Q152" s="6" t="s">
        <v>26</v>
      </c>
    </row>
    <row r="153">
      <c r="A153" s="5">
        <v>46127.89909590277</v>
      </c>
      <c r="B153" s="6" t="s">
        <v>1126</v>
      </c>
      <c r="C153" s="6" t="s">
        <v>1127</v>
      </c>
      <c r="D153" s="6" t="s">
        <v>1128</v>
      </c>
      <c r="E153" s="6" t="s">
        <v>1129</v>
      </c>
      <c r="F153" s="7">
        <v>46660.0</v>
      </c>
      <c r="G153" s="6" t="s">
        <v>220</v>
      </c>
      <c r="H153" s="6" t="s">
        <v>1130</v>
      </c>
      <c r="I153" s="12" t="s">
        <v>1131</v>
      </c>
      <c r="J153" s="6" t="s">
        <v>49</v>
      </c>
      <c r="K153" s="6" t="s">
        <v>24</v>
      </c>
      <c r="L153" s="6" t="s">
        <v>1132</v>
      </c>
      <c r="M153" s="12" t="s">
        <v>1133</v>
      </c>
      <c r="N153" s="6" t="b">
        <v>1</v>
      </c>
      <c r="O153" s="6" t="b">
        <v>1</v>
      </c>
      <c r="P153" s="9" t="str">
        <f>IFERROR(__xludf.DUMMYFUNCTION("SPARKLINE(COUNTIF(N153:O153,TRUE),{""charttype"",""bar"";""max"",2;""color1"",IF(COUNTIF(N153:O153, TRUE)=2, ""green"", ""yellow"")})"),"")</f>
        <v/>
      </c>
      <c r="Q153" s="6" t="s">
        <v>26</v>
      </c>
    </row>
    <row r="154">
      <c r="A154" s="15">
        <v>46127.92170170139</v>
      </c>
      <c r="B154" s="16" t="s">
        <v>1134</v>
      </c>
      <c r="C154" s="16" t="s">
        <v>1135</v>
      </c>
      <c r="D154" s="16" t="s">
        <v>1136</v>
      </c>
      <c r="E154" s="16" t="s">
        <v>1137</v>
      </c>
      <c r="F154" s="17">
        <v>47756.0</v>
      </c>
      <c r="G154" s="16" t="s">
        <v>220</v>
      </c>
      <c r="H154" s="16" t="s">
        <v>1138</v>
      </c>
      <c r="I154" s="18" t="s">
        <v>1139</v>
      </c>
      <c r="J154" s="16" t="s">
        <v>49</v>
      </c>
      <c r="K154" s="16" t="s">
        <v>24</v>
      </c>
      <c r="L154" s="19" t="s">
        <v>1140</v>
      </c>
      <c r="M154" s="18" t="s">
        <v>1141</v>
      </c>
      <c r="N154" s="16" t="b">
        <v>1</v>
      </c>
      <c r="O154" s="20" t="b">
        <v>0</v>
      </c>
      <c r="P154" s="20" t="str">
        <f>IFERROR(__xludf.DUMMYFUNCTION("SPARKLINE(COUNTIF(N154:O154,TRUE),{""charttype"",""bar"";""max"",2;""color1"",IF(COUNTIF(N154:O154, TRUE)=2, ""green"", ""yellow"")})"),"")</f>
        <v/>
      </c>
      <c r="Q154" s="16" t="s">
        <v>509</v>
      </c>
      <c r="R154" s="28" t="s">
        <v>1142</v>
      </c>
    </row>
    <row r="155">
      <c r="A155" s="15">
        <v>46127.94272305556</v>
      </c>
      <c r="B155" s="16" t="s">
        <v>1143</v>
      </c>
      <c r="C155" s="16" t="s">
        <v>1144</v>
      </c>
      <c r="D155" s="16" t="s">
        <v>1145</v>
      </c>
      <c r="E155" s="16" t="s">
        <v>1146</v>
      </c>
      <c r="F155" s="17">
        <v>47026.0</v>
      </c>
      <c r="G155" s="16" t="s">
        <v>220</v>
      </c>
      <c r="H155" s="16" t="s">
        <v>1147</v>
      </c>
      <c r="I155" s="18" t="s">
        <v>1148</v>
      </c>
      <c r="J155" s="16" t="s">
        <v>49</v>
      </c>
      <c r="K155" s="16" t="s">
        <v>24</v>
      </c>
      <c r="L155" s="19" t="s">
        <v>1149</v>
      </c>
      <c r="M155" s="20"/>
      <c r="N155" s="16" t="b">
        <v>1</v>
      </c>
      <c r="O155" s="20" t="b">
        <v>0</v>
      </c>
      <c r="P155" s="20" t="str">
        <f>IFERROR(__xludf.DUMMYFUNCTION("SPARKLINE(COUNTIF(N155:O155,TRUE),{""charttype"",""bar"";""max"",2;""color1"",IF(COUNTIF(N155:O155, TRUE)=2, ""green"", ""yellow"")})"),"")</f>
        <v/>
      </c>
      <c r="Q155" s="16" t="s">
        <v>509</v>
      </c>
      <c r="R155" s="28" t="s">
        <v>1142</v>
      </c>
    </row>
    <row r="156">
      <c r="A156" s="5">
        <v>46127.94548228009</v>
      </c>
      <c r="B156" s="6" t="s">
        <v>1150</v>
      </c>
      <c r="C156" s="6" t="s">
        <v>1151</v>
      </c>
      <c r="D156" s="6" t="s">
        <v>1152</v>
      </c>
      <c r="E156" s="6" t="s">
        <v>1153</v>
      </c>
      <c r="F156" s="7">
        <v>46660.0</v>
      </c>
      <c r="G156" s="6" t="s">
        <v>220</v>
      </c>
      <c r="H156" s="6" t="s">
        <v>1154</v>
      </c>
      <c r="I156" s="12" t="s">
        <v>1155</v>
      </c>
      <c r="J156" s="6" t="s">
        <v>49</v>
      </c>
      <c r="K156" s="6" t="s">
        <v>24</v>
      </c>
      <c r="L156" s="10" t="s">
        <v>1156</v>
      </c>
      <c r="M156" s="9"/>
      <c r="N156" s="6" t="b">
        <v>1</v>
      </c>
      <c r="O156" s="6" t="b">
        <v>1</v>
      </c>
      <c r="P156" s="9" t="str">
        <f>IFERROR(__xludf.DUMMYFUNCTION("SPARKLINE(COUNTIF(N156:O156,TRUE),{""charttype"",""bar"";""max"",2;""color1"",IF(COUNTIF(N156:O156, TRUE)=2, ""green"", ""yellow"")})"),"")</f>
        <v/>
      </c>
      <c r="Q156" s="6" t="s">
        <v>26</v>
      </c>
    </row>
    <row r="157">
      <c r="A157" s="15">
        <v>46127.95750880787</v>
      </c>
      <c r="B157" s="16" t="s">
        <v>1157</v>
      </c>
      <c r="C157" s="16" t="s">
        <v>1158</v>
      </c>
      <c r="D157" s="16" t="s">
        <v>1159</v>
      </c>
      <c r="E157" s="16" t="s">
        <v>1160</v>
      </c>
      <c r="F157" s="17">
        <v>47848.0</v>
      </c>
      <c r="G157" s="16" t="s">
        <v>220</v>
      </c>
      <c r="H157" s="16" t="s">
        <v>1161</v>
      </c>
      <c r="I157" s="18" t="s">
        <v>1162</v>
      </c>
      <c r="J157" s="16" t="s">
        <v>49</v>
      </c>
      <c r="K157" s="16" t="s">
        <v>24</v>
      </c>
      <c r="L157" s="19" t="s">
        <v>1163</v>
      </c>
      <c r="M157" s="20"/>
      <c r="N157" s="16" t="b">
        <v>1</v>
      </c>
      <c r="O157" s="20" t="b">
        <v>0</v>
      </c>
      <c r="P157" s="20" t="str">
        <f>IFERROR(__xludf.DUMMYFUNCTION("SPARKLINE(COUNTIF(N157:O157,TRUE),{""charttype"",""bar"";""max"",2;""color1"",IF(COUNTIF(N157:O157, TRUE)=2, ""green"", ""yellow"")})"),"")</f>
        <v/>
      </c>
      <c r="Q157" s="16" t="s">
        <v>509</v>
      </c>
      <c r="R157" s="28" t="s">
        <v>1142</v>
      </c>
    </row>
    <row r="158">
      <c r="A158" s="5">
        <v>46128.52760489583</v>
      </c>
      <c r="B158" s="6" t="s">
        <v>1164</v>
      </c>
      <c r="C158" s="6" t="s">
        <v>233</v>
      </c>
      <c r="D158" s="6" t="s">
        <v>1165</v>
      </c>
      <c r="E158" s="6" t="s">
        <v>1166</v>
      </c>
      <c r="F158" s="7">
        <v>46387.0</v>
      </c>
      <c r="G158" s="6" t="s">
        <v>438</v>
      </c>
      <c r="H158" s="6" t="s">
        <v>1167</v>
      </c>
      <c r="I158" s="12" t="s">
        <v>1168</v>
      </c>
      <c r="J158" s="6" t="s">
        <v>49</v>
      </c>
      <c r="K158" s="6" t="s">
        <v>24</v>
      </c>
      <c r="L158" s="10" t="s">
        <v>1169</v>
      </c>
      <c r="M158" s="9"/>
      <c r="N158" s="6" t="b">
        <v>1</v>
      </c>
      <c r="O158" s="6" t="b">
        <v>1</v>
      </c>
      <c r="P158" s="9" t="str">
        <f>IFERROR(__xludf.DUMMYFUNCTION("SPARKLINE(COUNTIF(N158:O158,TRUE),{""charttype"",""bar"";""max"",2;""color1"",IF(COUNTIF(N158:O158, TRUE)=2, ""green"", ""yellow"")})"),"")</f>
        <v/>
      </c>
      <c r="Q158" s="6" t="s">
        <v>26</v>
      </c>
    </row>
    <row r="159">
      <c r="A159" s="5">
        <v>46128.53024605324</v>
      </c>
      <c r="B159" s="6" t="s">
        <v>1170</v>
      </c>
      <c r="C159" s="6" t="s">
        <v>1171</v>
      </c>
      <c r="D159" s="6" t="s">
        <v>1172</v>
      </c>
      <c r="E159" s="6" t="s">
        <v>1173</v>
      </c>
      <c r="F159" s="7">
        <v>46295.0</v>
      </c>
      <c r="G159" s="6" t="s">
        <v>1174</v>
      </c>
      <c r="H159" s="6" t="s">
        <v>1175</v>
      </c>
      <c r="I159" s="12" t="s">
        <v>1176</v>
      </c>
      <c r="J159" s="6" t="s">
        <v>49</v>
      </c>
      <c r="K159" s="6" t="s">
        <v>24</v>
      </c>
      <c r="L159" s="10" t="s">
        <v>1177</v>
      </c>
      <c r="M159" s="9"/>
      <c r="N159" s="6" t="b">
        <v>1</v>
      </c>
      <c r="O159" s="6" t="b">
        <v>1</v>
      </c>
      <c r="P159" s="9" t="str">
        <f>IFERROR(__xludf.DUMMYFUNCTION("SPARKLINE(COUNTIF(N159:O159,TRUE),{""charttype"",""bar"";""max"",2;""color1"",IF(COUNTIF(N159:O159, TRUE)=2, ""green"", ""yellow"")})"),"")</f>
        <v/>
      </c>
      <c r="Q159" s="6" t="s">
        <v>26</v>
      </c>
    </row>
    <row r="160">
      <c r="A160" s="5">
        <v>46128.54021958333</v>
      </c>
      <c r="B160" s="6" t="s">
        <v>1178</v>
      </c>
      <c r="C160" s="6" t="s">
        <v>1179</v>
      </c>
      <c r="D160" s="6" t="s">
        <v>1180</v>
      </c>
      <c r="E160" s="6" t="s">
        <v>1181</v>
      </c>
      <c r="F160" s="7">
        <v>46387.0</v>
      </c>
      <c r="G160" s="6" t="s">
        <v>438</v>
      </c>
      <c r="H160" s="6" t="s">
        <v>1182</v>
      </c>
      <c r="I160" s="12" t="s">
        <v>1183</v>
      </c>
      <c r="J160" s="6" t="s">
        <v>49</v>
      </c>
      <c r="K160" s="6" t="s">
        <v>24</v>
      </c>
      <c r="L160" s="10" t="s">
        <v>1184</v>
      </c>
      <c r="M160" s="9"/>
      <c r="N160" s="6" t="b">
        <v>1</v>
      </c>
      <c r="O160" s="6" t="b">
        <v>1</v>
      </c>
      <c r="P160" s="9" t="str">
        <f>IFERROR(__xludf.DUMMYFUNCTION("SPARKLINE(COUNTIF(N160:O160,TRUE),{""charttype"",""bar"";""max"",2;""color1"",IF(COUNTIF(N160:O160, TRUE)=2, ""green"", ""yellow"")})"),"")</f>
        <v/>
      </c>
      <c r="Q160" s="6" t="s">
        <v>26</v>
      </c>
    </row>
    <row r="161">
      <c r="A161" s="5">
        <v>46128.67719229167</v>
      </c>
      <c r="B161" s="6" t="s">
        <v>1185</v>
      </c>
      <c r="C161" s="6" t="s">
        <v>1186</v>
      </c>
      <c r="D161" s="6" t="s">
        <v>1187</v>
      </c>
      <c r="E161" s="6" t="s">
        <v>1188</v>
      </c>
      <c r="F161" s="7">
        <v>46387.0</v>
      </c>
      <c r="G161" s="6" t="s">
        <v>446</v>
      </c>
      <c r="H161" s="6" t="s">
        <v>1189</v>
      </c>
      <c r="I161" s="8" t="s">
        <v>1190</v>
      </c>
      <c r="J161" s="6" t="s">
        <v>49</v>
      </c>
      <c r="K161" s="6" t="s">
        <v>24</v>
      </c>
      <c r="L161" s="10" t="s">
        <v>1191</v>
      </c>
      <c r="M161" s="9"/>
      <c r="N161" s="6" t="b">
        <v>1</v>
      </c>
      <c r="O161" s="6" t="b">
        <v>1</v>
      </c>
      <c r="P161" s="9" t="str">
        <f>IFERROR(__xludf.DUMMYFUNCTION("SPARKLINE(COUNTIF(N161:O161,TRUE),{""charttype"",""bar"";""max"",2;""color1"",IF(COUNTIF(N161:O161, TRUE)=2, ""green"", ""yellow"")})"),"")</f>
        <v/>
      </c>
      <c r="Q161" s="6" t="s">
        <v>26</v>
      </c>
    </row>
    <row r="162">
      <c r="A162" s="5">
        <v>46128.67760631944</v>
      </c>
      <c r="B162" s="6" t="s">
        <v>1192</v>
      </c>
      <c r="C162" s="6" t="s">
        <v>503</v>
      </c>
      <c r="D162" s="6" t="s">
        <v>1193</v>
      </c>
      <c r="E162" s="6" t="s">
        <v>1194</v>
      </c>
      <c r="F162" s="7">
        <v>46387.0</v>
      </c>
      <c r="G162" s="6" t="s">
        <v>446</v>
      </c>
      <c r="H162" s="6" t="s">
        <v>1195</v>
      </c>
      <c r="I162" s="12" t="s">
        <v>1196</v>
      </c>
      <c r="J162" s="6" t="s">
        <v>49</v>
      </c>
      <c r="K162" s="6" t="s">
        <v>24</v>
      </c>
      <c r="L162" s="6" t="s">
        <v>1197</v>
      </c>
      <c r="M162" s="9"/>
      <c r="N162" s="6" t="b">
        <v>1</v>
      </c>
      <c r="O162" s="6" t="b">
        <v>1</v>
      </c>
      <c r="P162" s="9" t="str">
        <f>IFERROR(__xludf.DUMMYFUNCTION("SPARKLINE(COUNTIF(N162:O162,TRUE),{""charttype"",""bar"";""max"",2;""color1"",IF(COUNTIF(N162:O162, TRUE)=2, ""green"", ""yellow"")})"),"")</f>
        <v/>
      </c>
      <c r="Q162" s="6" t="s">
        <v>26</v>
      </c>
    </row>
    <row r="163">
      <c r="A163" s="5">
        <v>46129.40911071759</v>
      </c>
      <c r="B163" s="6" t="s">
        <v>1198</v>
      </c>
      <c r="C163" s="6" t="s">
        <v>1199</v>
      </c>
      <c r="D163" s="6" t="s">
        <v>1200</v>
      </c>
      <c r="E163" s="6" t="s">
        <v>1201</v>
      </c>
      <c r="F163" s="7">
        <v>47118.0</v>
      </c>
      <c r="G163" s="6" t="s">
        <v>461</v>
      </c>
      <c r="H163" s="6" t="s">
        <v>1202</v>
      </c>
      <c r="I163" s="12" t="s">
        <v>1203</v>
      </c>
      <c r="J163" s="6" t="s">
        <v>49</v>
      </c>
      <c r="K163" s="6" t="s">
        <v>24</v>
      </c>
      <c r="L163" s="10" t="s">
        <v>1204</v>
      </c>
      <c r="M163" s="9"/>
      <c r="N163" s="6" t="b">
        <v>1</v>
      </c>
      <c r="O163" s="6" t="b">
        <v>1</v>
      </c>
      <c r="P163" s="9" t="str">
        <f>IFERROR(__xludf.DUMMYFUNCTION("SPARKLINE(COUNTIF(N163:O163,TRUE),{""charttype"",""bar"";""max"",2;""color1"",IF(COUNTIF(N163:O163, TRUE)=2, ""green"", ""yellow"")})"),"")</f>
        <v/>
      </c>
      <c r="Q163" s="6" t="s">
        <v>26</v>
      </c>
    </row>
    <row r="164">
      <c r="A164" s="5">
        <v>46129.4860565625</v>
      </c>
      <c r="B164" s="6" t="s">
        <v>1205</v>
      </c>
      <c r="C164" s="6" t="s">
        <v>1206</v>
      </c>
      <c r="D164" s="6" t="s">
        <v>1207</v>
      </c>
      <c r="E164" s="6">
        <v>0.0</v>
      </c>
      <c r="F164" s="7">
        <v>46368.0</v>
      </c>
      <c r="G164" s="6" t="s">
        <v>189</v>
      </c>
      <c r="H164" s="6" t="s">
        <v>1208</v>
      </c>
      <c r="I164" s="12" t="s">
        <v>1209</v>
      </c>
      <c r="J164" s="6" t="s">
        <v>49</v>
      </c>
      <c r="K164" s="6" t="s">
        <v>24</v>
      </c>
      <c r="L164" s="10" t="s">
        <v>1210</v>
      </c>
      <c r="M164" s="9"/>
      <c r="N164" s="6" t="b">
        <v>1</v>
      </c>
      <c r="O164" s="6" t="b">
        <v>1</v>
      </c>
      <c r="P164" s="9" t="str">
        <f>IFERROR(__xludf.DUMMYFUNCTION("SPARKLINE(COUNTIF(N164:O164,TRUE),{""charttype"",""bar"";""max"",2;""color1"",IF(COUNTIF(N164:O164, TRUE)=2, ""green"", ""yellow"")})"),"")</f>
        <v/>
      </c>
      <c r="Q164" s="6" t="s">
        <v>26</v>
      </c>
      <c r="R164" s="27" t="s">
        <v>1074</v>
      </c>
    </row>
    <row r="165">
      <c r="A165" s="29">
        <v>46129.48845966435</v>
      </c>
      <c r="B165" s="30" t="s">
        <v>1211</v>
      </c>
      <c r="C165" s="30" t="s">
        <v>1212</v>
      </c>
      <c r="D165" s="30" t="s">
        <v>1213</v>
      </c>
      <c r="E165" s="30" t="s">
        <v>1214</v>
      </c>
      <c r="F165" s="31">
        <v>47847.0</v>
      </c>
      <c r="G165" s="30" t="s">
        <v>220</v>
      </c>
      <c r="H165" s="30" t="s">
        <v>1215</v>
      </c>
      <c r="I165" s="32" t="s">
        <v>1216</v>
      </c>
      <c r="J165" s="30" t="s">
        <v>49</v>
      </c>
      <c r="K165" s="30" t="s">
        <v>24</v>
      </c>
      <c r="L165" s="33" t="s">
        <v>1217</v>
      </c>
      <c r="M165" s="32" t="s">
        <v>1218</v>
      </c>
      <c r="N165" s="30" t="b">
        <v>1</v>
      </c>
      <c r="O165" s="34" t="b">
        <v>0</v>
      </c>
      <c r="P165" s="34" t="str">
        <f>IFERROR(__xludf.DUMMYFUNCTION("SPARKLINE(COUNTIF(N165:O165,TRUE),{""charttype"",""bar"";""max"",2;""color1"",IF(COUNTIF(N165:O165, TRUE)=2, ""green"", ""yellow"")})"),"")</f>
        <v/>
      </c>
      <c r="Q165" s="30" t="s">
        <v>509</v>
      </c>
      <c r="R165" s="28" t="s">
        <v>1142</v>
      </c>
    </row>
    <row r="166">
      <c r="A166" s="29">
        <v>46129.49300909722</v>
      </c>
      <c r="B166" s="30" t="s">
        <v>1219</v>
      </c>
      <c r="C166" s="30" t="s">
        <v>1220</v>
      </c>
      <c r="D166" s="30" t="s">
        <v>1219</v>
      </c>
      <c r="E166" s="30" t="s">
        <v>1221</v>
      </c>
      <c r="F166" s="31">
        <v>46387.0</v>
      </c>
      <c r="G166" s="30" t="s">
        <v>220</v>
      </c>
      <c r="H166" s="30" t="s">
        <v>1222</v>
      </c>
      <c r="I166" s="32" t="s">
        <v>1223</v>
      </c>
      <c r="J166" s="30" t="s">
        <v>49</v>
      </c>
      <c r="K166" s="30" t="s">
        <v>24</v>
      </c>
      <c r="L166" s="33" t="s">
        <v>1224</v>
      </c>
      <c r="N166" s="30" t="b">
        <v>1</v>
      </c>
      <c r="O166" s="34" t="b">
        <v>0</v>
      </c>
      <c r="P166" s="34" t="str">
        <f>IFERROR(__xludf.DUMMYFUNCTION("SPARKLINE(COUNTIF(N166:O166,TRUE),{""charttype"",""bar"";""max"",2;""color1"",IF(COUNTIF(N166:O166, TRUE)=2, ""green"", ""yellow"")})"),"")</f>
        <v/>
      </c>
      <c r="Q166" s="30" t="s">
        <v>509</v>
      </c>
      <c r="R166" s="28" t="s">
        <v>1142</v>
      </c>
    </row>
    <row r="167">
      <c r="A167" s="5">
        <v>46129.5056886574</v>
      </c>
      <c r="B167" s="6" t="s">
        <v>1225</v>
      </c>
      <c r="C167" s="6" t="s">
        <v>1226</v>
      </c>
      <c r="D167" s="6" t="s">
        <v>1227</v>
      </c>
      <c r="E167" s="6">
        <v>0.0</v>
      </c>
      <c r="F167" s="7">
        <v>46484.0</v>
      </c>
      <c r="G167" s="6" t="s">
        <v>189</v>
      </c>
      <c r="H167" s="6" t="s">
        <v>1228</v>
      </c>
      <c r="I167" s="12" t="s">
        <v>1229</v>
      </c>
      <c r="J167" s="6" t="s">
        <v>49</v>
      </c>
      <c r="K167" s="6" t="s">
        <v>24</v>
      </c>
      <c r="L167" s="10" t="s">
        <v>1230</v>
      </c>
      <c r="M167" s="9"/>
      <c r="N167" s="6" t="b">
        <v>1</v>
      </c>
      <c r="O167" s="6" t="b">
        <v>1</v>
      </c>
      <c r="P167" s="9" t="str">
        <f>IFERROR(__xludf.DUMMYFUNCTION("SPARKLINE(COUNTIF(N167:O167,TRUE),{""charttype"",""bar"";""max"",2;""color1"",IF(COUNTIF(N167:O167, TRUE)=2, ""green"", ""yellow"")})"),"")</f>
        <v/>
      </c>
      <c r="Q167" s="6" t="s">
        <v>26</v>
      </c>
      <c r="R167" s="27" t="s">
        <v>1074</v>
      </c>
    </row>
    <row r="168">
      <c r="A168" s="5">
        <v>46129.50753982639</v>
      </c>
      <c r="B168" s="6" t="s">
        <v>1231</v>
      </c>
      <c r="C168" s="6" t="s">
        <v>1232</v>
      </c>
      <c r="D168" s="6" t="s">
        <v>1233</v>
      </c>
      <c r="E168" s="6" t="s">
        <v>1234</v>
      </c>
      <c r="F168" s="7">
        <v>46387.0</v>
      </c>
      <c r="G168" s="6" t="s">
        <v>189</v>
      </c>
      <c r="H168" s="6" t="s">
        <v>1235</v>
      </c>
      <c r="I168" s="12" t="s">
        <v>1236</v>
      </c>
      <c r="J168" s="6" t="s">
        <v>49</v>
      </c>
      <c r="K168" s="6" t="s">
        <v>24</v>
      </c>
      <c r="L168" s="10" t="s">
        <v>1237</v>
      </c>
      <c r="M168" s="9"/>
      <c r="N168" s="6" t="b">
        <v>1</v>
      </c>
      <c r="O168" s="6" t="b">
        <v>1</v>
      </c>
      <c r="P168" s="9" t="str">
        <f>IFERROR(__xludf.DUMMYFUNCTION("SPARKLINE(COUNTIF(N168:O168,TRUE),{""charttype"",""bar"";""max"",2;""color1"",IF(COUNTIF(N168:O168, TRUE)=2, ""green"", ""yellow"")})"),"")</f>
        <v/>
      </c>
      <c r="Q168" s="6" t="s">
        <v>26</v>
      </c>
      <c r="R168" s="27" t="s">
        <v>1074</v>
      </c>
    </row>
    <row r="169">
      <c r="A169" s="29">
        <v>46129.57891059028</v>
      </c>
      <c r="B169" s="30" t="s">
        <v>1238</v>
      </c>
      <c r="C169" s="30" t="s">
        <v>1239</v>
      </c>
      <c r="D169" s="30" t="s">
        <v>1240</v>
      </c>
      <c r="E169" s="30" t="s">
        <v>1241</v>
      </c>
      <c r="F169" s="31">
        <v>46387.0</v>
      </c>
      <c r="G169" s="30" t="s">
        <v>220</v>
      </c>
      <c r="H169" s="30" t="s">
        <v>1242</v>
      </c>
      <c r="I169" s="32" t="s">
        <v>1243</v>
      </c>
      <c r="J169" s="30" t="s">
        <v>49</v>
      </c>
      <c r="K169" s="30" t="s">
        <v>24</v>
      </c>
      <c r="L169" s="33" t="s">
        <v>1244</v>
      </c>
      <c r="N169" s="30" t="b">
        <v>1</v>
      </c>
      <c r="O169" s="34" t="b">
        <v>0</v>
      </c>
      <c r="P169" s="34" t="str">
        <f>IFERROR(__xludf.DUMMYFUNCTION("SPARKLINE(COUNTIF(N169:O169,TRUE),{""charttype"",""bar"";""max"",2;""color1"",IF(COUNTIF(N169:O169, TRUE)=2, ""green"", ""yellow"")})"),"")</f>
        <v/>
      </c>
      <c r="Q169" s="30" t="s">
        <v>509</v>
      </c>
      <c r="R169" s="28" t="s">
        <v>1142</v>
      </c>
    </row>
    <row r="170">
      <c r="A170" s="29">
        <v>46129.6318945949</v>
      </c>
      <c r="B170" s="30" t="s">
        <v>1245</v>
      </c>
      <c r="C170" s="30" t="s">
        <v>1246</v>
      </c>
      <c r="D170" s="30" t="s">
        <v>1247</v>
      </c>
      <c r="E170" s="30" t="s">
        <v>1248</v>
      </c>
      <c r="F170" s="31">
        <v>47756.0</v>
      </c>
      <c r="G170" s="30" t="s">
        <v>220</v>
      </c>
      <c r="H170" s="30" t="s">
        <v>1249</v>
      </c>
      <c r="I170" s="32" t="s">
        <v>1250</v>
      </c>
      <c r="J170" s="30" t="s">
        <v>49</v>
      </c>
      <c r="K170" s="30" t="s">
        <v>24</v>
      </c>
      <c r="L170" s="33" t="s">
        <v>1251</v>
      </c>
      <c r="M170" s="32" t="s">
        <v>1252</v>
      </c>
      <c r="N170" s="30" t="b">
        <v>1</v>
      </c>
      <c r="O170" s="34" t="b">
        <v>0</v>
      </c>
      <c r="P170" s="34" t="str">
        <f>IFERROR(__xludf.DUMMYFUNCTION("SPARKLINE(COUNTIF(N170:O170,TRUE),{""charttype"",""bar"";""max"",2;""color1"",IF(COUNTIF(N170:O170, TRUE)=2, ""green"", ""yellow"")})"),"")</f>
        <v/>
      </c>
      <c r="Q170" s="30" t="s">
        <v>509</v>
      </c>
      <c r="R170" s="28" t="s">
        <v>1142</v>
      </c>
    </row>
    <row r="171">
      <c r="A171" s="5">
        <v>46129.65269618055</v>
      </c>
      <c r="B171" s="6" t="s">
        <v>1253</v>
      </c>
      <c r="C171" s="6" t="s">
        <v>1254</v>
      </c>
      <c r="D171" s="6" t="s">
        <v>1255</v>
      </c>
      <c r="E171" s="6" t="s">
        <v>1256</v>
      </c>
      <c r="F171" s="7">
        <v>46387.0</v>
      </c>
      <c r="G171" s="6" t="s">
        <v>91</v>
      </c>
      <c r="H171" s="6" t="s">
        <v>1257</v>
      </c>
      <c r="I171" s="12" t="s">
        <v>1258</v>
      </c>
      <c r="J171" s="6" t="s">
        <v>49</v>
      </c>
      <c r="K171" s="6" t="s">
        <v>24</v>
      </c>
      <c r="L171" s="10" t="s">
        <v>1259</v>
      </c>
      <c r="M171" s="9"/>
      <c r="N171" s="6" t="b">
        <v>1</v>
      </c>
      <c r="O171" s="6" t="b">
        <v>1</v>
      </c>
      <c r="P171" s="9" t="str">
        <f>IFERROR(__xludf.DUMMYFUNCTION("SPARKLINE(COUNTIF(N171:O171,TRUE),{""charttype"",""bar"";""max"",2;""color1"",IF(COUNTIF(N171:O171, TRUE)=2, ""green"", ""yellow"")})"),"")</f>
        <v/>
      </c>
      <c r="Q171" s="6" t="s">
        <v>26</v>
      </c>
    </row>
    <row r="172">
      <c r="A172" s="5">
        <v>46129.6672253588</v>
      </c>
      <c r="B172" s="6" t="s">
        <v>1260</v>
      </c>
      <c r="C172" s="6" t="s">
        <v>1261</v>
      </c>
      <c r="D172" s="6" t="s">
        <v>1262</v>
      </c>
      <c r="E172" s="6" t="s">
        <v>1263</v>
      </c>
      <c r="F172" s="7">
        <v>46387.0</v>
      </c>
      <c r="G172" s="6" t="s">
        <v>1115</v>
      </c>
      <c r="H172" s="6" t="s">
        <v>1264</v>
      </c>
      <c r="I172" s="8" t="s">
        <v>1265</v>
      </c>
      <c r="J172" s="6" t="s">
        <v>49</v>
      </c>
      <c r="K172" s="6" t="s">
        <v>24</v>
      </c>
      <c r="L172" s="10" t="s">
        <v>1266</v>
      </c>
      <c r="M172" s="9"/>
      <c r="N172" s="6" t="b">
        <v>1</v>
      </c>
      <c r="O172" s="6" t="b">
        <v>1</v>
      </c>
      <c r="P172" s="9" t="str">
        <f>IFERROR(__xludf.DUMMYFUNCTION("SPARKLINE(COUNTIF(N172:O172,TRUE),{""charttype"",""bar"";""max"",2;""color1"",IF(COUNTIF(N172:O172, TRUE)=2, ""green"", ""yellow"")})"),"")</f>
        <v/>
      </c>
      <c r="Q172" s="6" t="s">
        <v>26</v>
      </c>
      <c r="R172" s="27" t="s">
        <v>1074</v>
      </c>
    </row>
    <row r="173">
      <c r="A173" s="5">
        <v>46129.67189899305</v>
      </c>
      <c r="B173" s="6" t="s">
        <v>1267</v>
      </c>
      <c r="C173" s="6" t="s">
        <v>1268</v>
      </c>
      <c r="D173" s="6" t="s">
        <v>1269</v>
      </c>
      <c r="E173" s="6" t="s">
        <v>1270</v>
      </c>
      <c r="F173" s="7">
        <v>47118.0</v>
      </c>
      <c r="G173" s="6" t="s">
        <v>1271</v>
      </c>
      <c r="H173" s="6" t="s">
        <v>1272</v>
      </c>
      <c r="I173" s="8" t="s">
        <v>1273</v>
      </c>
      <c r="J173" s="6" t="s">
        <v>49</v>
      </c>
      <c r="K173" s="6" t="s">
        <v>24</v>
      </c>
      <c r="L173" s="10" t="s">
        <v>1274</v>
      </c>
      <c r="M173" s="9"/>
      <c r="N173" s="6" t="b">
        <v>1</v>
      </c>
      <c r="O173" s="6" t="b">
        <v>1</v>
      </c>
      <c r="P173" s="9" t="str">
        <f>IFERROR(__xludf.DUMMYFUNCTION("SPARKLINE(COUNTIF(N173:O173,TRUE),{""charttype"",""bar"";""max"",2;""color1"",IF(COUNTIF(N173:O173, TRUE)=2, ""green"", ""yellow"")})"),"")</f>
        <v/>
      </c>
      <c r="Q173" s="6" t="s">
        <v>26</v>
      </c>
    </row>
    <row r="174">
      <c r="A174" s="5">
        <v>46129.674140034724</v>
      </c>
      <c r="B174" s="6" t="s">
        <v>1275</v>
      </c>
      <c r="C174" s="6" t="s">
        <v>1276</v>
      </c>
      <c r="D174" s="6" t="s">
        <v>1277</v>
      </c>
      <c r="E174" s="6" t="s">
        <v>1278</v>
      </c>
      <c r="F174" s="7">
        <v>46752.0</v>
      </c>
      <c r="G174" s="6" t="s">
        <v>1271</v>
      </c>
      <c r="H174" s="6" t="s">
        <v>1279</v>
      </c>
      <c r="I174" s="12" t="s">
        <v>1280</v>
      </c>
      <c r="J174" s="6" t="s">
        <v>49</v>
      </c>
      <c r="K174" s="6" t="s">
        <v>24</v>
      </c>
      <c r="L174" s="10" t="s">
        <v>1281</v>
      </c>
      <c r="M174" s="9"/>
      <c r="N174" s="6" t="b">
        <v>1</v>
      </c>
      <c r="O174" s="6" t="b">
        <v>1</v>
      </c>
      <c r="P174" s="9" t="str">
        <f>IFERROR(__xludf.DUMMYFUNCTION("SPARKLINE(COUNTIF(N174:O174,TRUE),{""charttype"",""bar"";""max"",2;""color1"",IF(COUNTIF(N174:O174, TRUE)=2, ""green"", ""yellow"")})"),"")</f>
        <v/>
      </c>
      <c r="Q174" s="6" t="s">
        <v>26</v>
      </c>
    </row>
    <row r="175">
      <c r="A175" s="5">
        <v>46129.818504814815</v>
      </c>
      <c r="B175" s="6" t="s">
        <v>1282</v>
      </c>
      <c r="C175" s="6" t="s">
        <v>1283</v>
      </c>
      <c r="D175" s="6" t="s">
        <v>1284</v>
      </c>
      <c r="E175" s="6" t="s">
        <v>1285</v>
      </c>
      <c r="F175" s="7">
        <v>46752.0</v>
      </c>
      <c r="G175" s="6" t="s">
        <v>1115</v>
      </c>
      <c r="H175" s="6" t="s">
        <v>1286</v>
      </c>
      <c r="I175" s="8" t="s">
        <v>1287</v>
      </c>
      <c r="J175" s="6" t="s">
        <v>49</v>
      </c>
      <c r="K175" s="6" t="s">
        <v>24</v>
      </c>
      <c r="L175" s="10" t="s">
        <v>1288</v>
      </c>
      <c r="M175" s="9"/>
      <c r="N175" s="6" t="b">
        <v>1</v>
      </c>
      <c r="O175" s="6" t="b">
        <v>1</v>
      </c>
      <c r="P175" s="9" t="str">
        <f>IFERROR(__xludf.DUMMYFUNCTION("SPARKLINE(COUNTIF(N175:O175,TRUE),{""charttype"",""bar"";""max"",2;""color1"",IF(COUNTIF(N175:O175, TRUE)=2, ""green"", ""yellow"")})"),"")</f>
        <v/>
      </c>
      <c r="Q175" s="6" t="s">
        <v>26</v>
      </c>
    </row>
    <row r="176">
      <c r="A176" s="5">
        <v>46129.83175556713</v>
      </c>
      <c r="B176" s="6" t="s">
        <v>1289</v>
      </c>
      <c r="C176" s="6" t="s">
        <v>1290</v>
      </c>
      <c r="D176" s="6" t="s">
        <v>1291</v>
      </c>
      <c r="E176" s="6" t="s">
        <v>1292</v>
      </c>
      <c r="F176" s="7">
        <v>46387.0</v>
      </c>
      <c r="G176" s="6" t="s">
        <v>91</v>
      </c>
      <c r="H176" s="6" t="s">
        <v>1293</v>
      </c>
      <c r="I176" s="8" t="s">
        <v>1294</v>
      </c>
      <c r="J176" s="6" t="s">
        <v>49</v>
      </c>
      <c r="K176" s="6" t="s">
        <v>24</v>
      </c>
      <c r="L176" s="10" t="s">
        <v>1295</v>
      </c>
      <c r="M176" s="9"/>
      <c r="N176" s="6" t="b">
        <v>1</v>
      </c>
      <c r="O176" s="6" t="b">
        <v>1</v>
      </c>
      <c r="P176" s="9" t="str">
        <f>IFERROR(__xludf.DUMMYFUNCTION("SPARKLINE(COUNTIF(N176:O176,TRUE),{""charttype"",""bar"";""max"",2;""color1"",IF(COUNTIF(N176:O176, TRUE)=2, ""green"", ""yellow"")})"),"")</f>
        <v/>
      </c>
      <c r="Q176" s="6" t="s">
        <v>26</v>
      </c>
    </row>
    <row r="177">
      <c r="A177" s="5">
        <v>46129.83711329861</v>
      </c>
      <c r="B177" s="6" t="s">
        <v>1296</v>
      </c>
      <c r="C177" s="6" t="s">
        <v>1297</v>
      </c>
      <c r="D177" s="6" t="s">
        <v>1298</v>
      </c>
      <c r="E177" s="6" t="s">
        <v>1299</v>
      </c>
      <c r="F177" s="7">
        <v>46752.0</v>
      </c>
      <c r="G177" s="6" t="s">
        <v>91</v>
      </c>
      <c r="H177" s="6" t="s">
        <v>1300</v>
      </c>
      <c r="I177" s="12" t="s">
        <v>1301</v>
      </c>
      <c r="J177" s="6" t="s">
        <v>49</v>
      </c>
      <c r="K177" s="6" t="s">
        <v>24</v>
      </c>
      <c r="L177" s="10" t="s">
        <v>1302</v>
      </c>
      <c r="M177" s="9"/>
      <c r="N177" s="6" t="b">
        <v>1</v>
      </c>
      <c r="O177" s="6" t="b">
        <v>1</v>
      </c>
      <c r="P177" s="9" t="str">
        <f>IFERROR(__xludf.DUMMYFUNCTION("SPARKLINE(COUNTIF(N177:O177,TRUE),{""charttype"",""bar"";""max"",2;""color1"",IF(COUNTIF(N177:O177, TRUE)=2, ""green"", ""yellow"")})"),"")</f>
        <v/>
      </c>
      <c r="Q177" s="6" t="s">
        <v>26</v>
      </c>
    </row>
    <row r="178">
      <c r="A178" s="5">
        <v>46129.95121542824</v>
      </c>
      <c r="B178" s="6" t="s">
        <v>1303</v>
      </c>
      <c r="C178" s="6" t="s">
        <v>1304</v>
      </c>
      <c r="D178" s="6" t="s">
        <v>1305</v>
      </c>
      <c r="E178" s="6" t="s">
        <v>1306</v>
      </c>
      <c r="F178" s="7">
        <v>46387.0</v>
      </c>
      <c r="G178" s="6" t="s">
        <v>189</v>
      </c>
      <c r="H178" s="6" t="s">
        <v>1307</v>
      </c>
      <c r="I178" s="12" t="s">
        <v>1308</v>
      </c>
      <c r="J178" s="6" t="s">
        <v>49</v>
      </c>
      <c r="K178" s="6" t="s">
        <v>24</v>
      </c>
      <c r="L178" s="10" t="s">
        <v>1309</v>
      </c>
      <c r="M178" s="9"/>
      <c r="N178" s="6" t="b">
        <v>1</v>
      </c>
      <c r="O178" s="6" t="b">
        <v>1</v>
      </c>
      <c r="P178" s="9" t="str">
        <f>IFERROR(__xludf.DUMMYFUNCTION("SPARKLINE(COUNTIF(N178:O178,TRUE),{""charttype"",""bar"";""max"",2;""color1"",IF(COUNTIF(N178:O178, TRUE)=2, ""green"", ""yellow"")})"),"")</f>
        <v/>
      </c>
      <c r="Q178" s="6" t="s">
        <v>26</v>
      </c>
    </row>
    <row r="179">
      <c r="A179" s="5">
        <v>46129.972765625</v>
      </c>
      <c r="B179" s="6" t="s">
        <v>1310</v>
      </c>
      <c r="C179" s="6" t="s">
        <v>1311</v>
      </c>
      <c r="D179" s="6" t="s">
        <v>1312</v>
      </c>
      <c r="E179" s="6" t="s">
        <v>1313</v>
      </c>
      <c r="F179" s="7">
        <v>46387.0</v>
      </c>
      <c r="G179" s="6" t="s">
        <v>91</v>
      </c>
      <c r="H179" s="6" t="s">
        <v>1314</v>
      </c>
      <c r="I179" s="8" t="s">
        <v>1315</v>
      </c>
      <c r="J179" s="6" t="s">
        <v>49</v>
      </c>
      <c r="K179" s="6" t="s">
        <v>24</v>
      </c>
      <c r="L179" s="10" t="s">
        <v>1316</v>
      </c>
      <c r="M179" s="9"/>
      <c r="N179" s="6" t="b">
        <v>1</v>
      </c>
      <c r="O179" s="6" t="b">
        <v>1</v>
      </c>
      <c r="P179" s="9" t="str">
        <f>IFERROR(__xludf.DUMMYFUNCTION("SPARKLINE(COUNTIF(N179:O179,TRUE),{""charttype"",""bar"";""max"",2;""color1"",IF(COUNTIF(N179:O179, TRUE)=2, ""green"", ""yellow"")})"),"")</f>
        <v/>
      </c>
      <c r="Q179" s="6" t="s">
        <v>26</v>
      </c>
    </row>
    <row r="180">
      <c r="A180" s="5">
        <v>46130.021486446756</v>
      </c>
      <c r="B180" s="6" t="s">
        <v>1317</v>
      </c>
      <c r="C180" s="6" t="s">
        <v>1318</v>
      </c>
      <c r="D180" s="6" t="s">
        <v>1319</v>
      </c>
      <c r="E180" s="6" t="s">
        <v>1320</v>
      </c>
      <c r="F180" s="7">
        <v>47118.0</v>
      </c>
      <c r="G180" s="6" t="s">
        <v>1115</v>
      </c>
      <c r="H180" s="6" t="s">
        <v>1321</v>
      </c>
      <c r="I180" s="8" t="s">
        <v>1322</v>
      </c>
      <c r="J180" s="6" t="s">
        <v>49</v>
      </c>
      <c r="K180" s="6" t="s">
        <v>24</v>
      </c>
      <c r="L180" s="10" t="s">
        <v>1323</v>
      </c>
      <c r="M180" s="9"/>
      <c r="N180" s="6" t="b">
        <v>1</v>
      </c>
      <c r="O180" s="6" t="b">
        <v>1</v>
      </c>
      <c r="P180" s="9" t="str">
        <f>IFERROR(__xludf.DUMMYFUNCTION("SPARKLINE(COUNTIF(N180:O180,TRUE),{""charttype"",""bar"";""max"",2;""color1"",IF(COUNTIF(N180:O180, TRUE)=2, ""green"", ""yellow"")})"),"")</f>
        <v/>
      </c>
      <c r="Q180" s="6" t="s">
        <v>26</v>
      </c>
      <c r="R180" s="27" t="s">
        <v>1074</v>
      </c>
    </row>
    <row r="181">
      <c r="A181" s="5">
        <v>46133.478449594906</v>
      </c>
      <c r="B181" s="6" t="s">
        <v>1324</v>
      </c>
      <c r="C181" s="6" t="s">
        <v>1325</v>
      </c>
      <c r="D181" s="6" t="s">
        <v>1326</v>
      </c>
      <c r="E181" s="6">
        <v>0.0</v>
      </c>
      <c r="F181" s="7">
        <v>46498.0</v>
      </c>
      <c r="G181" s="6" t="s">
        <v>891</v>
      </c>
      <c r="H181" s="6" t="s">
        <v>1327</v>
      </c>
      <c r="I181" s="12" t="s">
        <v>1328</v>
      </c>
      <c r="J181" s="6" t="s">
        <v>49</v>
      </c>
      <c r="K181" s="6" t="s">
        <v>24</v>
      </c>
      <c r="L181" s="10" t="s">
        <v>1329</v>
      </c>
      <c r="M181" s="9"/>
      <c r="N181" s="6" t="b">
        <v>1</v>
      </c>
      <c r="O181" s="6" t="b">
        <v>1</v>
      </c>
      <c r="P181" s="9" t="str">
        <f>IFERROR(__xludf.DUMMYFUNCTION("SPARKLINE(COUNTIF(N181:O181,TRUE),{""charttype"",""bar"";""max"",2;""color1"",IF(COUNTIF(N181:O181, TRUE)=2, ""green"", ""yellow"")})"),"")</f>
        <v/>
      </c>
      <c r="Q181" s="6" t="s">
        <v>26</v>
      </c>
      <c r="R181" s="27" t="s">
        <v>1074</v>
      </c>
    </row>
    <row r="182">
      <c r="A182" s="5">
        <v>46130.70418853009</v>
      </c>
      <c r="B182" s="6" t="s">
        <v>1330</v>
      </c>
      <c r="C182" s="6" t="s">
        <v>1331</v>
      </c>
      <c r="D182" s="6" t="s">
        <v>1332</v>
      </c>
      <c r="E182" s="6" t="s">
        <v>1333</v>
      </c>
      <c r="F182" s="7">
        <v>47362.0</v>
      </c>
      <c r="G182" s="6" t="s">
        <v>438</v>
      </c>
      <c r="H182" s="6" t="s">
        <v>1334</v>
      </c>
      <c r="I182" s="8" t="s">
        <v>1335</v>
      </c>
      <c r="J182" s="6" t="s">
        <v>49</v>
      </c>
      <c r="K182" s="6" t="s">
        <v>24</v>
      </c>
      <c r="L182" s="10" t="s">
        <v>1336</v>
      </c>
      <c r="M182" s="12" t="s">
        <v>1337</v>
      </c>
      <c r="N182" s="6" t="b">
        <v>1</v>
      </c>
      <c r="O182" s="6" t="b">
        <v>1</v>
      </c>
      <c r="P182" s="9" t="str">
        <f>IFERROR(__xludf.DUMMYFUNCTION("SPARKLINE(COUNTIF(N182:O182,TRUE),{""charttype"",""bar"";""max"",2;""color1"",IF(COUNTIF(N182:O182, TRUE)=2, ""green"", ""yellow"")})"),"")</f>
        <v/>
      </c>
      <c r="Q182" s="6" t="s">
        <v>26</v>
      </c>
    </row>
    <row r="183">
      <c r="A183" s="5">
        <v>46130.87006901621</v>
      </c>
      <c r="B183" s="6" t="s">
        <v>1338</v>
      </c>
      <c r="C183" s="6" t="s">
        <v>1339</v>
      </c>
      <c r="D183" s="6" t="s">
        <v>1340</v>
      </c>
      <c r="E183" s="6" t="s">
        <v>1341</v>
      </c>
      <c r="F183" s="7">
        <v>47118.0</v>
      </c>
      <c r="G183" s="6" t="s">
        <v>438</v>
      </c>
      <c r="H183" s="6" t="s">
        <v>1342</v>
      </c>
      <c r="I183" s="12" t="s">
        <v>1343</v>
      </c>
      <c r="J183" s="6" t="s">
        <v>49</v>
      </c>
      <c r="K183" s="6" t="s">
        <v>24</v>
      </c>
      <c r="L183" s="10" t="s">
        <v>1344</v>
      </c>
      <c r="M183" s="9"/>
      <c r="N183" s="6" t="b">
        <v>1</v>
      </c>
      <c r="O183" s="6" t="b">
        <v>1</v>
      </c>
      <c r="P183" s="9" t="str">
        <f>IFERROR(__xludf.DUMMYFUNCTION("SPARKLINE(COUNTIF(N183:O183,TRUE),{""charttype"",""bar"";""max"",2;""color1"",IF(COUNTIF(N183:O183, TRUE)=2, ""green"", ""yellow"")})"),"")</f>
        <v/>
      </c>
      <c r="Q183" s="6" t="s">
        <v>26</v>
      </c>
    </row>
    <row r="184">
      <c r="A184" s="5">
        <v>46130.974424479165</v>
      </c>
      <c r="B184" s="6" t="s">
        <v>1345</v>
      </c>
      <c r="C184" s="6" t="s">
        <v>1346</v>
      </c>
      <c r="D184" s="6" t="s">
        <v>1347</v>
      </c>
      <c r="E184" s="6" t="s">
        <v>1348</v>
      </c>
      <c r="F184" s="7">
        <v>47118.0</v>
      </c>
      <c r="G184" s="6" t="s">
        <v>491</v>
      </c>
      <c r="H184" s="6" t="s">
        <v>1349</v>
      </c>
      <c r="I184" s="12" t="s">
        <v>1350</v>
      </c>
      <c r="J184" s="6" t="s">
        <v>49</v>
      </c>
      <c r="K184" s="6" t="s">
        <v>24</v>
      </c>
      <c r="L184" s="10" t="s">
        <v>1351</v>
      </c>
      <c r="M184" s="9"/>
      <c r="N184" s="6" t="b">
        <v>1</v>
      </c>
      <c r="O184" s="6" t="b">
        <v>1</v>
      </c>
      <c r="P184" s="9" t="str">
        <f>IFERROR(__xludf.DUMMYFUNCTION("SPARKLINE(COUNTIF(N184:O184,TRUE),{""charttype"",""bar"";""max"",2;""color1"",IF(COUNTIF(N184:O184, TRUE)=2, ""green"", ""yellow"")})"),"")</f>
        <v/>
      </c>
      <c r="Q184" s="6" t="s">
        <v>26</v>
      </c>
    </row>
    <row r="185">
      <c r="A185" s="5">
        <v>46131.915134780094</v>
      </c>
      <c r="B185" s="6" t="s">
        <v>1352</v>
      </c>
      <c r="C185" s="6" t="s">
        <v>1353</v>
      </c>
      <c r="D185" s="6" t="s">
        <v>1354</v>
      </c>
      <c r="E185" s="6" t="s">
        <v>1355</v>
      </c>
      <c r="F185" s="7">
        <v>46295.0</v>
      </c>
      <c r="G185" s="6" t="s">
        <v>438</v>
      </c>
      <c r="H185" s="6" t="s">
        <v>1356</v>
      </c>
      <c r="I185" s="12" t="s">
        <v>1357</v>
      </c>
      <c r="J185" s="6" t="s">
        <v>49</v>
      </c>
      <c r="K185" s="6" t="s">
        <v>24</v>
      </c>
      <c r="L185" s="10" t="s">
        <v>1358</v>
      </c>
      <c r="M185" s="9"/>
      <c r="N185" s="6" t="b">
        <v>1</v>
      </c>
      <c r="O185" s="6" t="b">
        <v>1</v>
      </c>
      <c r="P185" s="9" t="str">
        <f>IFERROR(__xludf.DUMMYFUNCTION("SPARKLINE(COUNTIF(N185:O185,TRUE),{""charttype"",""bar"";""max"",2;""color1"",IF(COUNTIF(N185:O185, TRUE)=2, ""green"", ""yellow"")})"),"")</f>
        <v/>
      </c>
      <c r="Q185" s="6" t="s">
        <v>26</v>
      </c>
    </row>
    <row r="186">
      <c r="A186" s="5">
        <v>46131.94585265046</v>
      </c>
      <c r="B186" s="6" t="s">
        <v>1359</v>
      </c>
      <c r="C186" s="6" t="s">
        <v>1360</v>
      </c>
      <c r="D186" s="6" t="s">
        <v>1361</v>
      </c>
      <c r="E186" s="6" t="s">
        <v>1362</v>
      </c>
      <c r="F186" s="7">
        <v>47118.0</v>
      </c>
      <c r="G186" s="6" t="s">
        <v>1115</v>
      </c>
      <c r="H186" s="6" t="s">
        <v>1363</v>
      </c>
      <c r="I186" s="12" t="s">
        <v>1364</v>
      </c>
      <c r="J186" s="6" t="s">
        <v>49</v>
      </c>
      <c r="K186" s="6" t="s">
        <v>24</v>
      </c>
      <c r="L186" s="10" t="s">
        <v>1365</v>
      </c>
      <c r="M186" s="9"/>
      <c r="N186" s="6" t="b">
        <v>1</v>
      </c>
      <c r="O186" s="6" t="b">
        <v>1</v>
      </c>
      <c r="P186" s="9" t="str">
        <f>IFERROR(__xludf.DUMMYFUNCTION("SPARKLINE(COUNTIF(N186:O186,TRUE),{""charttype"",""bar"";""max"",2;""color1"",IF(COUNTIF(N186:O186, TRUE)=2, ""green"", ""yellow"")})"),"")</f>
        <v/>
      </c>
      <c r="Q186" s="6" t="s">
        <v>26</v>
      </c>
    </row>
    <row r="187">
      <c r="A187" s="5">
        <v>46132.44052204861</v>
      </c>
      <c r="B187" s="6" t="s">
        <v>1366</v>
      </c>
      <c r="C187" s="6" t="s">
        <v>1367</v>
      </c>
      <c r="D187" s="6" t="s">
        <v>1368</v>
      </c>
      <c r="E187" s="6">
        <v>0.0</v>
      </c>
      <c r="F187" s="7">
        <v>46503.0</v>
      </c>
      <c r="G187" s="6" t="s">
        <v>189</v>
      </c>
      <c r="H187" s="6" t="s">
        <v>1369</v>
      </c>
      <c r="I187" s="12" t="s">
        <v>1370</v>
      </c>
      <c r="J187" s="6" t="s">
        <v>49</v>
      </c>
      <c r="K187" s="6" t="s">
        <v>24</v>
      </c>
      <c r="L187" s="10" t="s">
        <v>1371</v>
      </c>
      <c r="M187" s="9"/>
      <c r="N187" s="6" t="b">
        <v>1</v>
      </c>
      <c r="O187" s="6" t="b">
        <v>1</v>
      </c>
      <c r="P187" s="9" t="str">
        <f>IFERROR(__xludf.DUMMYFUNCTION("SPARKLINE(COUNTIF(N187:O187,TRUE),{""charttype"",""bar"";""max"",2;""color1"",IF(COUNTIF(N187:O187, TRUE)=2, ""green"", ""yellow"")})"),"")</f>
        <v/>
      </c>
      <c r="Q187" s="6" t="s">
        <v>26</v>
      </c>
    </row>
    <row r="188">
      <c r="A188" s="5">
        <v>46132.47306005787</v>
      </c>
      <c r="B188" s="6" t="s">
        <v>1372</v>
      </c>
      <c r="C188" s="6" t="s">
        <v>1373</v>
      </c>
      <c r="D188" s="6" t="s">
        <v>1374</v>
      </c>
      <c r="E188" s="6" t="s">
        <v>1375</v>
      </c>
      <c r="F188" s="7">
        <v>47118.0</v>
      </c>
      <c r="G188" s="6" t="s">
        <v>438</v>
      </c>
      <c r="H188" s="6" t="s">
        <v>1376</v>
      </c>
      <c r="I188" s="8" t="s">
        <v>1377</v>
      </c>
      <c r="J188" s="6" t="s">
        <v>49</v>
      </c>
      <c r="K188" s="6" t="s">
        <v>24</v>
      </c>
      <c r="L188" s="10" t="s">
        <v>1378</v>
      </c>
      <c r="M188" s="9"/>
      <c r="N188" s="6" t="b">
        <v>1</v>
      </c>
      <c r="O188" s="6" t="b">
        <v>1</v>
      </c>
      <c r="P188" s="9" t="str">
        <f>IFERROR(__xludf.DUMMYFUNCTION("SPARKLINE(COUNTIF(N188:O188,TRUE),{""charttype"",""bar"";""max"",2;""color1"",IF(COUNTIF(N188:O188, TRUE)=2, ""green"", ""yellow"")})"),"")</f>
        <v/>
      </c>
      <c r="Q188" s="6" t="s">
        <v>26</v>
      </c>
    </row>
    <row r="189">
      <c r="A189" s="15">
        <v>46132.69440765046</v>
      </c>
      <c r="B189" s="16" t="s">
        <v>1379</v>
      </c>
      <c r="C189" s="16" t="s">
        <v>1380</v>
      </c>
      <c r="D189" s="16" t="s">
        <v>1381</v>
      </c>
      <c r="E189" s="16" t="s">
        <v>1382</v>
      </c>
      <c r="F189" s="17">
        <v>46295.0</v>
      </c>
      <c r="G189" s="16" t="s">
        <v>543</v>
      </c>
      <c r="H189" s="16" t="s">
        <v>1383</v>
      </c>
      <c r="I189" s="18" t="s">
        <v>1384</v>
      </c>
      <c r="J189" s="16" t="s">
        <v>49</v>
      </c>
      <c r="K189" s="16" t="s">
        <v>24</v>
      </c>
      <c r="L189" s="19" t="s">
        <v>1385</v>
      </c>
      <c r="M189" s="20"/>
      <c r="N189" s="20" t="b">
        <v>0</v>
      </c>
      <c r="O189" s="20" t="b">
        <v>0</v>
      </c>
      <c r="P189" s="34" t="str">
        <f>IFERROR(__xludf.DUMMYFUNCTION("SPARKLINE(COUNTIF(N189:O189,TRUE),{""charttype"",""bar"";""max"",2;""color1"",IF(COUNTIF(N189:O189, TRUE)=2, ""green"", ""yellow"")})"),"")</f>
        <v/>
      </c>
      <c r="Q189" s="21" t="s">
        <v>1386</v>
      </c>
      <c r="R189" s="24" t="s">
        <v>1387</v>
      </c>
    </row>
    <row r="190">
      <c r="A190" s="15">
        <v>46132.72812804398</v>
      </c>
      <c r="B190" s="16" t="s">
        <v>1388</v>
      </c>
      <c r="C190" s="16" t="s">
        <v>1389</v>
      </c>
      <c r="D190" s="16" t="s">
        <v>1390</v>
      </c>
      <c r="E190" s="16" t="s">
        <v>1391</v>
      </c>
      <c r="F190" s="17">
        <v>46387.0</v>
      </c>
      <c r="G190" s="16" t="s">
        <v>415</v>
      </c>
      <c r="H190" s="16" t="s">
        <v>1392</v>
      </c>
      <c r="I190" s="22" t="s">
        <v>1393</v>
      </c>
      <c r="J190" s="16" t="s">
        <v>49</v>
      </c>
      <c r="K190" s="16" t="s">
        <v>24</v>
      </c>
      <c r="L190" s="19" t="s">
        <v>1394</v>
      </c>
      <c r="M190" s="20"/>
      <c r="N190" s="16" t="b">
        <v>1</v>
      </c>
      <c r="O190" s="20" t="b">
        <v>0</v>
      </c>
      <c r="P190" s="34" t="str">
        <f>IFERROR(__xludf.DUMMYFUNCTION("SPARKLINE(COUNTIF(N190:O190,TRUE),{""charttype"",""bar"";""max"",2;""color1"",IF(COUNTIF(N190:O190, TRUE)=2, ""green"", ""yellow"")})"),"")</f>
        <v/>
      </c>
      <c r="Q190" s="30" t="s">
        <v>509</v>
      </c>
      <c r="R190" s="21" t="s">
        <v>1395</v>
      </c>
    </row>
    <row r="191">
      <c r="A191" s="5">
        <v>46132.76903472222</v>
      </c>
      <c r="B191" s="6" t="s">
        <v>1396</v>
      </c>
      <c r="C191" s="6" t="s">
        <v>1397</v>
      </c>
      <c r="D191" s="6" t="s">
        <v>1398</v>
      </c>
      <c r="E191" s="6" t="s">
        <v>1399</v>
      </c>
      <c r="F191" s="7">
        <v>47483.0</v>
      </c>
      <c r="G191" s="6" t="s">
        <v>698</v>
      </c>
      <c r="H191" s="6" t="s">
        <v>1400</v>
      </c>
      <c r="I191" s="12" t="s">
        <v>1401</v>
      </c>
      <c r="J191" s="6" t="s">
        <v>49</v>
      </c>
      <c r="K191" s="6" t="s">
        <v>24</v>
      </c>
      <c r="L191" s="10" t="s">
        <v>1402</v>
      </c>
      <c r="M191" s="9"/>
      <c r="N191" s="6" t="b">
        <v>1</v>
      </c>
      <c r="O191" s="6" t="b">
        <v>1</v>
      </c>
      <c r="P191" s="9" t="str">
        <f>IFERROR(__xludf.DUMMYFUNCTION("SPARKLINE(COUNTIF(N191:O191,TRUE),{""charttype"",""bar"";""max"",2;""color1"",IF(COUNTIF(N191:O191, TRUE)=2, ""green"", ""yellow"")})"),"")</f>
        <v/>
      </c>
      <c r="Q191" s="6" t="s">
        <v>26</v>
      </c>
      <c r="R191" s="35" t="s">
        <v>1403</v>
      </c>
    </row>
    <row r="192">
      <c r="A192" s="5">
        <v>46132.831039571756</v>
      </c>
      <c r="B192" s="6" t="s">
        <v>1404</v>
      </c>
      <c r="C192" s="6" t="s">
        <v>1405</v>
      </c>
      <c r="D192" s="6" t="s">
        <v>1406</v>
      </c>
      <c r="E192" s="6" t="s">
        <v>1407</v>
      </c>
      <c r="F192" s="7">
        <v>46295.0</v>
      </c>
      <c r="G192" s="6" t="s">
        <v>891</v>
      </c>
      <c r="H192" s="6" t="s">
        <v>1408</v>
      </c>
      <c r="I192" s="8" t="s">
        <v>1409</v>
      </c>
      <c r="J192" s="6" t="s">
        <v>49</v>
      </c>
      <c r="K192" s="6" t="s">
        <v>24</v>
      </c>
      <c r="L192" s="10" t="s">
        <v>1410</v>
      </c>
      <c r="M192" s="9"/>
      <c r="N192" s="6" t="b">
        <v>1</v>
      </c>
      <c r="O192" s="6" t="b">
        <v>1</v>
      </c>
      <c r="P192" s="9" t="str">
        <f>IFERROR(__xludf.DUMMYFUNCTION("SPARKLINE(COUNTIF(N192:O192,TRUE),{""charttype"",""bar"";""max"",2;""color1"",IF(COUNTIF(N192:O192, TRUE)=2, ""green"", ""yellow"")})"),"")</f>
        <v/>
      </c>
      <c r="Q192" s="6" t="s">
        <v>26</v>
      </c>
    </row>
    <row r="193">
      <c r="A193" s="29">
        <v>46132.91083356482</v>
      </c>
      <c r="B193" s="30" t="s">
        <v>1411</v>
      </c>
      <c r="C193" s="30" t="s">
        <v>271</v>
      </c>
      <c r="D193" s="30" t="s">
        <v>1412</v>
      </c>
      <c r="E193" s="30" t="s">
        <v>1413</v>
      </c>
      <c r="F193" s="31">
        <v>47848.0</v>
      </c>
      <c r="G193" s="30" t="s">
        <v>220</v>
      </c>
      <c r="H193" s="30" t="s">
        <v>1414</v>
      </c>
      <c r="I193" s="32" t="s">
        <v>1415</v>
      </c>
      <c r="J193" s="30" t="s">
        <v>49</v>
      </c>
      <c r="K193" s="30" t="s">
        <v>24</v>
      </c>
      <c r="L193" s="33" t="s">
        <v>1416</v>
      </c>
      <c r="M193" s="32" t="s">
        <v>1417</v>
      </c>
      <c r="N193" s="30" t="b">
        <v>1</v>
      </c>
      <c r="O193" s="34" t="b">
        <v>0</v>
      </c>
      <c r="P193" s="34" t="str">
        <f>IFERROR(__xludf.DUMMYFUNCTION("SPARKLINE(COUNTIF(N193:O193,TRUE),{""charttype"",""bar"";""max"",2;""color1"",IF(COUNTIF(N193:O193, TRUE)=2, ""green"", ""yellow"")})"),"")</f>
        <v/>
      </c>
      <c r="Q193" s="30" t="s">
        <v>509</v>
      </c>
      <c r="R193" s="28" t="s">
        <v>1142</v>
      </c>
    </row>
    <row r="194">
      <c r="A194" s="5">
        <v>46132.968168865744</v>
      </c>
      <c r="B194" s="6" t="s">
        <v>1418</v>
      </c>
      <c r="C194" s="6" t="s">
        <v>1419</v>
      </c>
      <c r="D194" s="6" t="s">
        <v>1420</v>
      </c>
      <c r="E194" s="6" t="s">
        <v>1421</v>
      </c>
      <c r="F194" s="7">
        <v>47472.0</v>
      </c>
      <c r="G194" s="6" t="s">
        <v>220</v>
      </c>
      <c r="H194" s="6" t="s">
        <v>1422</v>
      </c>
      <c r="I194" s="12" t="s">
        <v>1423</v>
      </c>
      <c r="J194" s="6" t="s">
        <v>49</v>
      </c>
      <c r="K194" s="6" t="s">
        <v>24</v>
      </c>
      <c r="L194" s="10" t="s">
        <v>1424</v>
      </c>
      <c r="M194" s="9"/>
      <c r="N194" s="6" t="b">
        <v>1</v>
      </c>
      <c r="O194" s="6" t="b">
        <v>1</v>
      </c>
      <c r="P194" s="9" t="str">
        <f>IFERROR(__xludf.DUMMYFUNCTION("SPARKLINE(COUNTIF(N194:O194,TRUE),{""charttype"",""bar"";""max"",2;""color1"",IF(COUNTIF(N194:O194, TRUE)=2, ""green"", ""yellow"")})"),"")</f>
        <v/>
      </c>
      <c r="Q194" s="6" t="s">
        <v>26</v>
      </c>
    </row>
    <row r="195">
      <c r="A195" s="5">
        <v>46132.96970634259</v>
      </c>
      <c r="B195" s="6" t="s">
        <v>1425</v>
      </c>
      <c r="C195" s="6" t="s">
        <v>1426</v>
      </c>
      <c r="D195" s="6" t="s">
        <v>1427</v>
      </c>
      <c r="E195" s="6" t="s">
        <v>1428</v>
      </c>
      <c r="F195" s="7">
        <v>47118.0</v>
      </c>
      <c r="G195" s="6" t="s">
        <v>145</v>
      </c>
      <c r="H195" s="6" t="s">
        <v>1429</v>
      </c>
      <c r="I195" s="12" t="s">
        <v>1430</v>
      </c>
      <c r="J195" s="6" t="s">
        <v>49</v>
      </c>
      <c r="K195" s="6" t="s">
        <v>24</v>
      </c>
      <c r="L195" s="6">
        <v>9.7430033997E10</v>
      </c>
      <c r="M195" s="9"/>
      <c r="N195" s="6" t="b">
        <v>1</v>
      </c>
      <c r="O195" s="6" t="b">
        <v>1</v>
      </c>
      <c r="P195" s="9" t="str">
        <f>IFERROR(__xludf.DUMMYFUNCTION("SPARKLINE(COUNTIF(N195:O195,TRUE),{""charttype"",""bar"";""max"",2;""color1"",IF(COUNTIF(N195:O195, TRUE)=2, ""green"", ""yellow"")})"),"")</f>
        <v/>
      </c>
      <c r="Q195" s="6" t="s">
        <v>26</v>
      </c>
    </row>
    <row r="196">
      <c r="A196" s="5">
        <v>46133.20031537037</v>
      </c>
      <c r="B196" s="6" t="s">
        <v>1431</v>
      </c>
      <c r="C196" s="6" t="s">
        <v>1432</v>
      </c>
      <c r="D196" s="6" t="s">
        <v>1433</v>
      </c>
      <c r="E196" s="6" t="s">
        <v>1434</v>
      </c>
      <c r="F196" s="7">
        <v>46354.0</v>
      </c>
      <c r="G196" s="6" t="s">
        <v>446</v>
      </c>
      <c r="H196" s="6" t="s">
        <v>1435</v>
      </c>
      <c r="I196" s="12" t="s">
        <v>1436</v>
      </c>
      <c r="J196" s="6" t="s">
        <v>49</v>
      </c>
      <c r="K196" s="6" t="s">
        <v>24</v>
      </c>
      <c r="L196" s="10" t="s">
        <v>1437</v>
      </c>
      <c r="M196" s="9"/>
      <c r="N196" s="6" t="b">
        <v>1</v>
      </c>
      <c r="O196" s="6" t="b">
        <v>1</v>
      </c>
      <c r="P196" s="9" t="str">
        <f>IFERROR(__xludf.DUMMYFUNCTION("SPARKLINE(COUNTIF(N196:O196,TRUE),{""charttype"",""bar"";""max"",2;""color1"",IF(COUNTIF(N196:O196, TRUE)=2, ""green"", ""yellow"")})"),"")</f>
        <v/>
      </c>
      <c r="Q196" s="6" t="s">
        <v>26</v>
      </c>
    </row>
    <row r="197">
      <c r="A197" s="5">
        <v>46133.495719189814</v>
      </c>
      <c r="B197" s="6" t="s">
        <v>1438</v>
      </c>
      <c r="C197" s="6" t="s">
        <v>1439</v>
      </c>
      <c r="D197" s="6" t="s">
        <v>1440</v>
      </c>
      <c r="E197" s="6" t="s">
        <v>1441</v>
      </c>
      <c r="F197" s="7">
        <v>47118.0</v>
      </c>
      <c r="G197" s="6" t="s">
        <v>862</v>
      </c>
      <c r="H197" s="6" t="s">
        <v>1442</v>
      </c>
      <c r="I197" s="12" t="s">
        <v>1443</v>
      </c>
      <c r="J197" s="6" t="s">
        <v>49</v>
      </c>
      <c r="K197" s="6" t="s">
        <v>24</v>
      </c>
      <c r="L197" s="10" t="s">
        <v>1444</v>
      </c>
      <c r="M197" s="9"/>
      <c r="N197" s="6" t="b">
        <v>1</v>
      </c>
      <c r="O197" s="6" t="b">
        <v>1</v>
      </c>
      <c r="P197" s="9" t="str">
        <f>IFERROR(__xludf.DUMMYFUNCTION("SPARKLINE(COUNTIF(N197:O197,TRUE),{""charttype"",""bar"";""max"",2;""color1"",IF(COUNTIF(N197:O197, TRUE)=2, ""green"", ""yellow"")})"),"")</f>
        <v/>
      </c>
      <c r="Q197" s="6" t="s">
        <v>26</v>
      </c>
    </row>
    <row r="198">
      <c r="A198" s="5">
        <v>46133.59565059028</v>
      </c>
      <c r="B198" s="6" t="s">
        <v>1445</v>
      </c>
      <c r="C198" s="6" t="s">
        <v>1446</v>
      </c>
      <c r="D198" s="6" t="s">
        <v>1447</v>
      </c>
      <c r="E198" s="6" t="s">
        <v>1448</v>
      </c>
      <c r="F198" s="7">
        <v>46387.0</v>
      </c>
      <c r="G198" s="6" t="s">
        <v>137</v>
      </c>
      <c r="H198" s="6" t="s">
        <v>1449</v>
      </c>
      <c r="I198" s="12" t="s">
        <v>1450</v>
      </c>
      <c r="J198" s="6" t="s">
        <v>49</v>
      </c>
      <c r="K198" s="6" t="s">
        <v>24</v>
      </c>
      <c r="L198" s="10" t="s">
        <v>1451</v>
      </c>
      <c r="M198" s="9"/>
      <c r="N198" s="6" t="b">
        <v>1</v>
      </c>
      <c r="O198" s="6" t="b">
        <v>1</v>
      </c>
      <c r="P198" s="9" t="str">
        <f>IFERROR(__xludf.DUMMYFUNCTION("SPARKLINE(COUNTIF(N198:O198,TRUE),{""charttype"",""bar"";""max"",2;""color1"",IF(COUNTIF(N198:O198, TRUE)=2, ""green"", ""yellow"")})"),"")</f>
        <v/>
      </c>
      <c r="Q198" s="6" t="s">
        <v>26</v>
      </c>
    </row>
    <row r="199">
      <c r="A199" s="5">
        <v>46133.61300384259</v>
      </c>
      <c r="B199" s="6" t="s">
        <v>1452</v>
      </c>
      <c r="C199" s="6" t="s">
        <v>1453</v>
      </c>
      <c r="D199" s="6" t="s">
        <v>1454</v>
      </c>
      <c r="E199" s="6">
        <v>0.0</v>
      </c>
      <c r="F199" s="7">
        <v>46498.0</v>
      </c>
      <c r="G199" s="6" t="s">
        <v>891</v>
      </c>
      <c r="H199" s="6" t="s">
        <v>1455</v>
      </c>
      <c r="I199" s="12" t="s">
        <v>1456</v>
      </c>
      <c r="J199" s="6" t="s">
        <v>49</v>
      </c>
      <c r="K199" s="6" t="s">
        <v>24</v>
      </c>
      <c r="L199" s="10" t="s">
        <v>1457</v>
      </c>
      <c r="M199" s="9"/>
      <c r="N199" s="6" t="b">
        <v>1</v>
      </c>
      <c r="O199" s="6" t="b">
        <v>1</v>
      </c>
      <c r="P199" s="9" t="str">
        <f>IFERROR(__xludf.DUMMYFUNCTION("SPARKLINE(COUNTIF(N199:O199,TRUE),{""charttype"",""bar"";""max"",2;""color1"",IF(COUNTIF(N199:O199, TRUE)=2, ""green"", ""yellow"")})"),"")</f>
        <v/>
      </c>
      <c r="Q199" s="6" t="s">
        <v>26</v>
      </c>
      <c r="R199" s="27" t="s">
        <v>1074</v>
      </c>
    </row>
    <row r="200">
      <c r="A200" s="5">
        <v>46133.81232358796</v>
      </c>
      <c r="B200" s="6" t="s">
        <v>1458</v>
      </c>
      <c r="C200" s="6" t="s">
        <v>1459</v>
      </c>
      <c r="D200" s="6" t="s">
        <v>1460</v>
      </c>
      <c r="E200" s="6" t="s">
        <v>1461</v>
      </c>
      <c r="F200" s="7">
        <v>46295.0</v>
      </c>
      <c r="G200" s="6" t="s">
        <v>854</v>
      </c>
      <c r="H200" s="6" t="s">
        <v>1462</v>
      </c>
      <c r="I200" s="12" t="s">
        <v>1463</v>
      </c>
      <c r="J200" s="6" t="s">
        <v>49</v>
      </c>
      <c r="K200" s="6" t="s">
        <v>24</v>
      </c>
      <c r="L200" s="10" t="s">
        <v>1464</v>
      </c>
      <c r="M200" s="9"/>
      <c r="N200" s="6" t="b">
        <v>1</v>
      </c>
      <c r="O200" s="6" t="b">
        <v>1</v>
      </c>
      <c r="P200" s="9" t="str">
        <f>IFERROR(__xludf.DUMMYFUNCTION("SPARKLINE(COUNTIF(N200:O200,TRUE),{""charttype"",""bar"";""max"",2;""color1"",IF(COUNTIF(N200:O200, TRUE)=2, ""green"", ""yellow"")})"),"")</f>
        <v/>
      </c>
      <c r="Q200" s="6" t="s">
        <v>26</v>
      </c>
    </row>
    <row r="201">
      <c r="A201" s="5">
        <v>46133.63169805556</v>
      </c>
      <c r="B201" s="6" t="s">
        <v>1465</v>
      </c>
      <c r="C201" s="6" t="s">
        <v>1466</v>
      </c>
      <c r="D201" s="6" t="s">
        <v>1467</v>
      </c>
      <c r="E201" s="6" t="s">
        <v>1468</v>
      </c>
      <c r="F201" s="7">
        <v>47118.0</v>
      </c>
      <c r="G201" s="6" t="s">
        <v>862</v>
      </c>
      <c r="H201" s="6" t="s">
        <v>1469</v>
      </c>
      <c r="I201" s="12" t="s">
        <v>1470</v>
      </c>
      <c r="J201" s="6" t="s">
        <v>49</v>
      </c>
      <c r="K201" s="6" t="s">
        <v>24</v>
      </c>
      <c r="L201" s="10" t="s">
        <v>1471</v>
      </c>
      <c r="M201" s="9"/>
      <c r="N201" s="6" t="b">
        <v>1</v>
      </c>
      <c r="O201" s="6" t="b">
        <v>1</v>
      </c>
      <c r="P201" s="9" t="str">
        <f>IFERROR(__xludf.DUMMYFUNCTION("SPARKLINE(COUNTIF(N201:O201,TRUE),{""charttype"",""bar"";""max"",2;""color1"",IF(COUNTIF(N201:O201, TRUE)=2, ""green"", ""yellow"")})"),"")</f>
        <v/>
      </c>
      <c r="Q201" s="6" t="s">
        <v>26</v>
      </c>
    </row>
    <row r="202">
      <c r="A202" s="5">
        <v>46133.66697640046</v>
      </c>
      <c r="B202" s="6" t="s">
        <v>1472</v>
      </c>
      <c r="C202" s="6" t="s">
        <v>1473</v>
      </c>
      <c r="D202" s="6" t="s">
        <v>1474</v>
      </c>
      <c r="E202" s="6" t="s">
        <v>1475</v>
      </c>
      <c r="F202" s="7">
        <v>47118.0</v>
      </c>
      <c r="G202" s="6" t="s">
        <v>862</v>
      </c>
      <c r="H202" s="6" t="s">
        <v>1476</v>
      </c>
      <c r="I202" s="12" t="s">
        <v>1477</v>
      </c>
      <c r="J202" s="6" t="s">
        <v>49</v>
      </c>
      <c r="K202" s="6" t="s">
        <v>24</v>
      </c>
      <c r="L202" s="10" t="s">
        <v>1478</v>
      </c>
      <c r="M202" s="9"/>
      <c r="N202" s="6" t="b">
        <v>1</v>
      </c>
      <c r="O202" s="6" t="b">
        <v>1</v>
      </c>
      <c r="P202" s="9" t="str">
        <f>IFERROR(__xludf.DUMMYFUNCTION("SPARKLINE(COUNTIF(N202:O202,TRUE),{""charttype"",""bar"";""max"",2;""color1"",IF(COUNTIF(N202:O202, TRUE)=2, ""green"", ""yellow"")})"),"")</f>
        <v/>
      </c>
      <c r="Q202" s="6" t="s">
        <v>26</v>
      </c>
    </row>
    <row r="203">
      <c r="A203" s="5">
        <v>46133.69026671296</v>
      </c>
      <c r="B203" s="6" t="s">
        <v>1479</v>
      </c>
      <c r="C203" s="6" t="s">
        <v>1480</v>
      </c>
      <c r="D203" s="6" t="s">
        <v>1481</v>
      </c>
      <c r="E203" s="6" t="s">
        <v>1482</v>
      </c>
      <c r="F203" s="7">
        <v>47118.0</v>
      </c>
      <c r="G203" s="6" t="s">
        <v>862</v>
      </c>
      <c r="H203" s="6" t="s">
        <v>1483</v>
      </c>
      <c r="I203" s="12" t="s">
        <v>1484</v>
      </c>
      <c r="J203" s="6" t="s">
        <v>49</v>
      </c>
      <c r="K203" s="6" t="s">
        <v>24</v>
      </c>
      <c r="L203" s="10" t="s">
        <v>1485</v>
      </c>
      <c r="M203" s="9"/>
      <c r="N203" s="6" t="b">
        <v>1</v>
      </c>
      <c r="O203" s="6" t="b">
        <v>1</v>
      </c>
      <c r="P203" s="9" t="str">
        <f>IFERROR(__xludf.DUMMYFUNCTION("SPARKLINE(COUNTIF(N203:O203,TRUE),{""charttype"",""bar"";""max"",2;""color1"",IF(COUNTIF(N203:O203, TRUE)=2, ""green"", ""yellow"")})"),"")</f>
        <v/>
      </c>
      <c r="Q203" s="6" t="s">
        <v>26</v>
      </c>
    </row>
    <row r="204">
      <c r="A204" s="29">
        <v>46133.7175503125</v>
      </c>
      <c r="B204" s="30" t="s">
        <v>1486</v>
      </c>
      <c r="C204" s="30" t="s">
        <v>1487</v>
      </c>
      <c r="D204" s="30" t="s">
        <v>1488</v>
      </c>
      <c r="E204" s="30" t="s">
        <v>1489</v>
      </c>
      <c r="F204" s="31">
        <v>46752.0</v>
      </c>
      <c r="G204" s="30" t="s">
        <v>415</v>
      </c>
      <c r="H204" s="30" t="s">
        <v>1490</v>
      </c>
      <c r="I204" s="32" t="s">
        <v>1491</v>
      </c>
      <c r="J204" s="30" t="s">
        <v>49</v>
      </c>
      <c r="K204" s="30" t="s">
        <v>24</v>
      </c>
      <c r="L204" s="33" t="s">
        <v>1492</v>
      </c>
      <c r="N204" s="30" t="b">
        <v>1</v>
      </c>
      <c r="O204" s="34" t="b">
        <v>0</v>
      </c>
      <c r="P204" s="34" t="str">
        <f>IFERROR(__xludf.DUMMYFUNCTION("SPARKLINE(COUNTIF(N204:O204,TRUE),{""charttype"",""bar"";""max"",2;""color1"",IF(COUNTIF(N204:O204, TRUE)=2, ""green"", ""yellow"")})"),"")</f>
        <v/>
      </c>
      <c r="Q204" s="30" t="s">
        <v>509</v>
      </c>
      <c r="R204" s="23" t="s">
        <v>776</v>
      </c>
    </row>
    <row r="205">
      <c r="A205" s="5">
        <v>46134.29383357639</v>
      </c>
      <c r="B205" s="6" t="s">
        <v>1493</v>
      </c>
      <c r="C205" s="6" t="s">
        <v>1494</v>
      </c>
      <c r="D205" s="6" t="s">
        <v>1495</v>
      </c>
      <c r="E205" s="6" t="s">
        <v>1496</v>
      </c>
      <c r="F205" s="7">
        <v>46387.0</v>
      </c>
      <c r="G205" s="6" t="s">
        <v>189</v>
      </c>
      <c r="H205" s="6" t="s">
        <v>1497</v>
      </c>
      <c r="I205" s="12" t="s">
        <v>1498</v>
      </c>
      <c r="J205" s="6" t="s">
        <v>49</v>
      </c>
      <c r="K205" s="6" t="s">
        <v>24</v>
      </c>
      <c r="L205" s="10" t="s">
        <v>1499</v>
      </c>
      <c r="M205" s="9"/>
      <c r="N205" s="6" t="b">
        <v>1</v>
      </c>
      <c r="O205" s="6" t="b">
        <v>1</v>
      </c>
      <c r="P205" s="9" t="str">
        <f>IFERROR(__xludf.DUMMYFUNCTION("SPARKLINE(COUNTIF(N205:O205,TRUE),{""charttype"",""bar"";""max"",2;""color1"",IF(COUNTIF(N205:O205, TRUE)=2, ""green"", ""yellow"")})"),"")</f>
        <v/>
      </c>
      <c r="Q205" s="6" t="s">
        <v>26</v>
      </c>
    </row>
    <row r="206">
      <c r="A206" s="5">
        <v>46134.36351074074</v>
      </c>
      <c r="B206" s="6" t="s">
        <v>1500</v>
      </c>
      <c r="C206" s="6" t="s">
        <v>1501</v>
      </c>
      <c r="D206" s="6" t="s">
        <v>1502</v>
      </c>
      <c r="E206" s="6" t="s">
        <v>1503</v>
      </c>
      <c r="F206" s="7">
        <v>47118.0</v>
      </c>
      <c r="G206" s="6" t="s">
        <v>1271</v>
      </c>
      <c r="H206" s="6" t="s">
        <v>1504</v>
      </c>
      <c r="I206" s="12" t="s">
        <v>1505</v>
      </c>
      <c r="J206" s="6" t="s">
        <v>49</v>
      </c>
      <c r="K206" s="6" t="s">
        <v>24</v>
      </c>
      <c r="L206" s="10" t="s">
        <v>1506</v>
      </c>
      <c r="M206" s="9"/>
      <c r="N206" s="6" t="b">
        <v>1</v>
      </c>
      <c r="O206" s="6" t="b">
        <v>1</v>
      </c>
      <c r="P206" s="9" t="str">
        <f>IFERROR(__xludf.DUMMYFUNCTION("SPARKLINE(COUNTIF(N206:O206,TRUE),{""charttype"",""bar"";""max"",2;""color1"",IF(COUNTIF(N206:O206, TRUE)=2, ""green"", ""yellow"")})"),"")</f>
        <v/>
      </c>
      <c r="Q206" s="6" t="s">
        <v>26</v>
      </c>
    </row>
    <row r="207">
      <c r="A207" s="5">
        <v>46134.47934704861</v>
      </c>
      <c r="B207" s="6" t="s">
        <v>1507</v>
      </c>
      <c r="C207" s="6" t="s">
        <v>1467</v>
      </c>
      <c r="D207" s="6" t="s">
        <v>1508</v>
      </c>
      <c r="E207" s="6" t="s">
        <v>1509</v>
      </c>
      <c r="F207" s="7">
        <v>46660.0</v>
      </c>
      <c r="G207" s="6" t="s">
        <v>205</v>
      </c>
      <c r="H207" s="6" t="s">
        <v>1510</v>
      </c>
      <c r="I207" s="12" t="s">
        <v>1511</v>
      </c>
      <c r="J207" s="6" t="s">
        <v>49</v>
      </c>
      <c r="K207" s="6" t="s">
        <v>24</v>
      </c>
      <c r="L207" s="10" t="s">
        <v>1512</v>
      </c>
      <c r="M207" s="9"/>
      <c r="N207" s="6" t="b">
        <v>1</v>
      </c>
      <c r="O207" s="6" t="b">
        <v>1</v>
      </c>
      <c r="P207" s="9" t="str">
        <f>IFERROR(__xludf.DUMMYFUNCTION("SPARKLINE(COUNTIF(N207:O207,TRUE),{""charttype"",""bar"";""max"",2;""color1"",IF(COUNTIF(N207:O207, TRUE)=2, ""green"", ""yellow"")})"),"")</f>
        <v/>
      </c>
      <c r="Q207" s="6" t="s">
        <v>26</v>
      </c>
    </row>
    <row r="208">
      <c r="A208" s="29">
        <v>46134.60001009259</v>
      </c>
      <c r="B208" s="30" t="s">
        <v>1513</v>
      </c>
      <c r="C208" s="30" t="s">
        <v>1514</v>
      </c>
      <c r="D208" s="30" t="s">
        <v>1515</v>
      </c>
      <c r="E208" s="30" t="s">
        <v>1516</v>
      </c>
      <c r="F208" s="31">
        <v>46660.0</v>
      </c>
      <c r="G208" s="30" t="s">
        <v>713</v>
      </c>
      <c r="H208" s="30" t="s">
        <v>1517</v>
      </c>
      <c r="I208" s="32" t="s">
        <v>1518</v>
      </c>
      <c r="J208" s="30" t="s">
        <v>49</v>
      </c>
      <c r="K208" s="30" t="s">
        <v>24</v>
      </c>
      <c r="L208" s="33" t="s">
        <v>1519</v>
      </c>
      <c r="N208" s="30" t="b">
        <v>0</v>
      </c>
      <c r="O208" s="30" t="b">
        <v>1</v>
      </c>
      <c r="P208" s="34" t="str">
        <f>IFERROR(__xludf.DUMMYFUNCTION("SPARKLINE(COUNTIF(N208:O208,TRUE),{""charttype"",""bar"";""max"",2;""color1"",IF(COUNTIF(N208:O208, TRUE)=2, ""green"", ""yellow"")})"),"")</f>
        <v/>
      </c>
      <c r="Q208" s="30" t="s">
        <v>1520</v>
      </c>
    </row>
    <row r="209">
      <c r="A209" s="29">
        <v>46134.70283363426</v>
      </c>
      <c r="B209" s="30" t="s">
        <v>1521</v>
      </c>
      <c r="C209" s="30" t="s">
        <v>1522</v>
      </c>
      <c r="D209" s="30" t="s">
        <v>1523</v>
      </c>
      <c r="E209" s="30" t="s">
        <v>1524</v>
      </c>
      <c r="F209" s="31">
        <v>46387.0</v>
      </c>
      <c r="G209" s="30" t="s">
        <v>205</v>
      </c>
      <c r="H209" s="30" t="s">
        <v>1525</v>
      </c>
      <c r="I209" s="32" t="s">
        <v>1526</v>
      </c>
      <c r="J209" s="30" t="s">
        <v>49</v>
      </c>
      <c r="K209" s="30" t="s">
        <v>24</v>
      </c>
      <c r="L209" s="33" t="s">
        <v>1527</v>
      </c>
      <c r="N209" s="34" t="b">
        <v>0</v>
      </c>
      <c r="O209" s="34" t="b">
        <v>0</v>
      </c>
      <c r="P209" s="34" t="str">
        <f>IFERROR(__xludf.DUMMYFUNCTION("SPARKLINE(COUNTIF(N209:O209,TRUE),{""charttype"",""bar"";""max"",2;""color1"",IF(COUNTIF(N209:O209, TRUE)=2, ""green"", ""yellow"")})"),"")</f>
        <v/>
      </c>
      <c r="Q209" s="30" t="s">
        <v>1528</v>
      </c>
    </row>
    <row r="210">
      <c r="A210" s="29">
        <v>46134.720431828704</v>
      </c>
      <c r="B210" s="30" t="s">
        <v>1529</v>
      </c>
      <c r="C210" s="30" t="s">
        <v>1530</v>
      </c>
      <c r="D210" s="30" t="s">
        <v>1531</v>
      </c>
      <c r="E210" s="30" t="s">
        <v>1532</v>
      </c>
      <c r="F210" s="31">
        <v>46387.0</v>
      </c>
      <c r="G210" s="30" t="s">
        <v>446</v>
      </c>
      <c r="H210" s="30" t="s">
        <v>1533</v>
      </c>
      <c r="I210" s="32" t="s">
        <v>1534</v>
      </c>
      <c r="J210" s="30" t="s">
        <v>49</v>
      </c>
      <c r="K210" s="30" t="s">
        <v>24</v>
      </c>
      <c r="L210" s="33" t="s">
        <v>1535</v>
      </c>
      <c r="N210" s="34" t="b">
        <v>0</v>
      </c>
      <c r="O210" s="30" t="b">
        <v>1</v>
      </c>
      <c r="P210" s="34" t="str">
        <f>IFERROR(__xludf.DUMMYFUNCTION("SPARKLINE(COUNTIF(N210:O210,TRUE),{""charttype"",""bar"";""max"",2;""color1"",IF(COUNTIF(N210:O210, TRUE)=2, ""green"", ""yellow"")})"),"")</f>
        <v/>
      </c>
      <c r="Q210" s="30" t="s">
        <v>1528</v>
      </c>
    </row>
    <row r="211">
      <c r="A211" s="29">
        <v>46134.80118258102</v>
      </c>
      <c r="B211" s="30" t="s">
        <v>1536</v>
      </c>
      <c r="C211" s="30" t="s">
        <v>1537</v>
      </c>
      <c r="D211" s="30" t="s">
        <v>342</v>
      </c>
      <c r="E211" s="30" t="s">
        <v>1538</v>
      </c>
      <c r="F211" s="31">
        <v>46387.0</v>
      </c>
      <c r="G211" s="30" t="s">
        <v>415</v>
      </c>
      <c r="H211" s="30" t="s">
        <v>1539</v>
      </c>
      <c r="I211" s="32" t="s">
        <v>1540</v>
      </c>
      <c r="J211" s="30" t="s">
        <v>49</v>
      </c>
      <c r="K211" s="30" t="s">
        <v>24</v>
      </c>
      <c r="L211" s="33" t="s">
        <v>1541</v>
      </c>
      <c r="N211" s="34" t="b">
        <v>0</v>
      </c>
      <c r="O211" s="30" t="b">
        <v>0</v>
      </c>
      <c r="P211" s="34" t="str">
        <f>IFERROR(__xludf.DUMMYFUNCTION("SPARKLINE(COUNTIF(N211:O211,TRUE),{""charttype"",""bar"";""max"",2;""color1"",IF(COUNTIF(N211:O211, TRUE)=2, ""green"", ""yellow"")})"),"")</f>
        <v/>
      </c>
      <c r="Q211" s="30" t="s">
        <v>1528</v>
      </c>
      <c r="R211" s="30" t="s">
        <v>776</v>
      </c>
    </row>
    <row r="212">
      <c r="A212" s="29">
        <v>46134.803346319444</v>
      </c>
      <c r="B212" s="30" t="s">
        <v>1542</v>
      </c>
      <c r="C212" s="30" t="s">
        <v>1543</v>
      </c>
      <c r="D212" s="30" t="s">
        <v>1544</v>
      </c>
      <c r="E212" s="30" t="s">
        <v>1545</v>
      </c>
      <c r="F212" s="31">
        <v>46022.0</v>
      </c>
      <c r="G212" s="30" t="s">
        <v>772</v>
      </c>
      <c r="H212" s="30" t="s">
        <v>1546</v>
      </c>
      <c r="I212" s="32" t="s">
        <v>1547</v>
      </c>
      <c r="J212" s="30" t="s">
        <v>49</v>
      </c>
      <c r="K212" s="30" t="s">
        <v>24</v>
      </c>
      <c r="L212" s="33" t="s">
        <v>1548</v>
      </c>
      <c r="N212" s="34" t="b">
        <v>0</v>
      </c>
      <c r="O212" s="30" t="b">
        <v>1</v>
      </c>
      <c r="P212" s="34" t="str">
        <f>IFERROR(__xludf.DUMMYFUNCTION("SPARKLINE(COUNTIF(N212:O212,TRUE),{""charttype"",""bar"";""max"",2;""color1"",IF(COUNTIF(N212:O212, TRUE)=2, ""green"", ""yellow"")})"),"")</f>
        <v/>
      </c>
      <c r="Q212" s="30" t="s">
        <v>1549</v>
      </c>
    </row>
    <row r="213">
      <c r="A213" s="29">
        <v>46135.33799517361</v>
      </c>
      <c r="B213" s="30" t="s">
        <v>1550</v>
      </c>
      <c r="C213" s="30" t="s">
        <v>1551</v>
      </c>
      <c r="D213" s="30" t="s">
        <v>1552</v>
      </c>
      <c r="E213" s="30" t="s">
        <v>1553</v>
      </c>
      <c r="F213" s="31">
        <v>46752.0</v>
      </c>
      <c r="G213" s="30" t="s">
        <v>205</v>
      </c>
      <c r="H213" s="30" t="s">
        <v>1554</v>
      </c>
      <c r="I213" s="32" t="s">
        <v>1555</v>
      </c>
      <c r="J213" s="30" t="s">
        <v>49</v>
      </c>
      <c r="K213" s="30" t="s">
        <v>24</v>
      </c>
      <c r="L213" s="33" t="s">
        <v>1556</v>
      </c>
      <c r="N213" s="34" t="b">
        <v>0</v>
      </c>
      <c r="O213" s="30" t="b">
        <v>1</v>
      </c>
      <c r="Q213" s="30" t="s">
        <v>1557</v>
      </c>
    </row>
    <row r="214">
      <c r="A214" s="29">
        <v>46135.41831961805</v>
      </c>
      <c r="B214" s="30" t="s">
        <v>1558</v>
      </c>
      <c r="C214" s="30" t="s">
        <v>1559</v>
      </c>
      <c r="D214" s="30" t="s">
        <v>1560</v>
      </c>
      <c r="E214" s="30">
        <v>0.0</v>
      </c>
      <c r="F214" s="31">
        <v>46135.0</v>
      </c>
      <c r="G214" s="30" t="s">
        <v>189</v>
      </c>
      <c r="H214" s="30" t="s">
        <v>1561</v>
      </c>
      <c r="I214" s="32" t="s">
        <v>1562</v>
      </c>
      <c r="J214" s="30" t="s">
        <v>49</v>
      </c>
      <c r="K214" s="30" t="s">
        <v>24</v>
      </c>
      <c r="L214" s="33" t="s">
        <v>1563</v>
      </c>
      <c r="N214" s="34" t="b">
        <v>0</v>
      </c>
      <c r="O214" s="30" t="b">
        <v>1</v>
      </c>
      <c r="Q214" s="30" t="s">
        <v>1564</v>
      </c>
    </row>
    <row r="215">
      <c r="A215" s="29">
        <v>46135.44180994213</v>
      </c>
      <c r="B215" s="30" t="s">
        <v>1565</v>
      </c>
      <c r="C215" s="30" t="s">
        <v>1566</v>
      </c>
      <c r="D215" s="30" t="s">
        <v>1567</v>
      </c>
      <c r="E215" s="30" t="s">
        <v>1568</v>
      </c>
      <c r="F215" s="31">
        <v>46022.0</v>
      </c>
      <c r="G215" s="30" t="s">
        <v>854</v>
      </c>
      <c r="H215" s="30" t="s">
        <v>1569</v>
      </c>
      <c r="I215" s="32" t="s">
        <v>1570</v>
      </c>
      <c r="J215" s="30" t="s">
        <v>49</v>
      </c>
      <c r="K215" s="30" t="s">
        <v>24</v>
      </c>
      <c r="L215" s="33" t="s">
        <v>1571</v>
      </c>
      <c r="N215" s="34" t="b">
        <v>0</v>
      </c>
      <c r="O215" s="34" t="b">
        <v>0</v>
      </c>
      <c r="Q215" s="30" t="s">
        <v>1572</v>
      </c>
    </row>
    <row r="216">
      <c r="A216" s="29">
        <v>46135.540272847225</v>
      </c>
      <c r="B216" s="30" t="s">
        <v>1573</v>
      </c>
      <c r="C216" s="30" t="s">
        <v>1574</v>
      </c>
      <c r="D216" s="30" t="s">
        <v>1575</v>
      </c>
      <c r="E216" s="30" t="s">
        <v>1576</v>
      </c>
      <c r="F216" s="31">
        <v>47118.0</v>
      </c>
      <c r="G216" s="30" t="s">
        <v>438</v>
      </c>
      <c r="H216" s="30" t="s">
        <v>1577</v>
      </c>
      <c r="I216" s="32" t="s">
        <v>1578</v>
      </c>
      <c r="J216" s="30" t="s">
        <v>49</v>
      </c>
      <c r="K216" s="30" t="s">
        <v>24</v>
      </c>
      <c r="L216" s="33" t="s">
        <v>1579</v>
      </c>
      <c r="N216" s="34" t="b">
        <v>0</v>
      </c>
      <c r="O216" s="34" t="b">
        <v>0</v>
      </c>
    </row>
    <row r="217">
      <c r="A217" s="29">
        <v>46135.55535769676</v>
      </c>
      <c r="B217" s="30" t="s">
        <v>1580</v>
      </c>
      <c r="C217" s="30" t="s">
        <v>1581</v>
      </c>
      <c r="D217" s="30" t="s">
        <v>1582</v>
      </c>
      <c r="E217" s="30" t="s">
        <v>1583</v>
      </c>
      <c r="F217" s="31">
        <v>46660.0</v>
      </c>
      <c r="G217" s="30" t="s">
        <v>189</v>
      </c>
      <c r="H217" s="30" t="s">
        <v>1584</v>
      </c>
      <c r="I217" s="32" t="s">
        <v>1585</v>
      </c>
      <c r="J217" s="30" t="s">
        <v>49</v>
      </c>
      <c r="K217" s="30" t="s">
        <v>24</v>
      </c>
      <c r="L217" s="33" t="s">
        <v>1586</v>
      </c>
      <c r="N217" s="34" t="b">
        <v>0</v>
      </c>
      <c r="O217" s="34" t="b">
        <v>0</v>
      </c>
    </row>
    <row r="218">
      <c r="A218" s="29">
        <v>46135.57642171296</v>
      </c>
      <c r="B218" s="30" t="s">
        <v>1587</v>
      </c>
      <c r="C218" s="30" t="s">
        <v>1588</v>
      </c>
      <c r="D218" s="30" t="s">
        <v>1589</v>
      </c>
      <c r="E218" s="30" t="s">
        <v>1590</v>
      </c>
      <c r="F218" s="31">
        <v>46752.0</v>
      </c>
      <c r="G218" s="30" t="s">
        <v>189</v>
      </c>
      <c r="H218" s="30" t="s">
        <v>1591</v>
      </c>
      <c r="I218" s="32" t="s">
        <v>1592</v>
      </c>
      <c r="J218" s="30" t="s">
        <v>49</v>
      </c>
      <c r="K218" s="30" t="s">
        <v>24</v>
      </c>
      <c r="L218" s="33" t="s">
        <v>1593</v>
      </c>
      <c r="N218" s="34" t="b">
        <v>0</v>
      </c>
      <c r="O218" s="34" t="b">
        <v>0</v>
      </c>
    </row>
    <row r="219">
      <c r="A219" s="29">
        <v>46135.58261275463</v>
      </c>
      <c r="B219" s="30" t="s">
        <v>1594</v>
      </c>
      <c r="C219" s="30" t="s">
        <v>1595</v>
      </c>
      <c r="D219" s="30" t="s">
        <v>1596</v>
      </c>
      <c r="E219" s="30" t="s">
        <v>1597</v>
      </c>
      <c r="F219" s="31">
        <v>47118.0</v>
      </c>
      <c r="G219" s="30" t="s">
        <v>205</v>
      </c>
      <c r="H219" s="30" t="s">
        <v>1598</v>
      </c>
      <c r="I219" s="32" t="s">
        <v>1599</v>
      </c>
      <c r="J219" s="30" t="s">
        <v>49</v>
      </c>
      <c r="K219" s="30" t="s">
        <v>24</v>
      </c>
      <c r="L219" s="33" t="s">
        <v>1600</v>
      </c>
      <c r="N219" s="34" t="b">
        <v>0</v>
      </c>
      <c r="O219" s="34" t="b">
        <v>0</v>
      </c>
    </row>
    <row r="220">
      <c r="A220" s="29">
        <v>46135.58443394676</v>
      </c>
      <c r="B220" s="30" t="s">
        <v>1601</v>
      </c>
      <c r="C220" s="30" t="s">
        <v>1602</v>
      </c>
      <c r="D220" s="30" t="s">
        <v>1603</v>
      </c>
      <c r="E220" s="30" t="s">
        <v>1604</v>
      </c>
      <c r="F220" s="31">
        <v>46387.0</v>
      </c>
      <c r="G220" s="30" t="s">
        <v>189</v>
      </c>
      <c r="H220" s="30" t="s">
        <v>1605</v>
      </c>
      <c r="I220" s="32" t="s">
        <v>1606</v>
      </c>
      <c r="J220" s="30" t="s">
        <v>49</v>
      </c>
      <c r="K220" s="30" t="s">
        <v>24</v>
      </c>
      <c r="L220" s="33" t="s">
        <v>1607</v>
      </c>
      <c r="N220" s="34" t="b">
        <v>0</v>
      </c>
      <c r="O220" s="34" t="b">
        <v>0</v>
      </c>
    </row>
    <row r="221">
      <c r="A221" s="29">
        <v>46135.59184528935</v>
      </c>
      <c r="B221" s="30" t="s">
        <v>1608</v>
      </c>
      <c r="C221" s="30" t="s">
        <v>1609</v>
      </c>
      <c r="D221" s="30" t="s">
        <v>1610</v>
      </c>
      <c r="E221" s="30" t="s">
        <v>1611</v>
      </c>
      <c r="F221" s="31">
        <v>46094.0</v>
      </c>
      <c r="G221" s="30" t="s">
        <v>189</v>
      </c>
      <c r="H221" s="30" t="s">
        <v>1612</v>
      </c>
      <c r="I221" s="32" t="s">
        <v>1613</v>
      </c>
      <c r="J221" s="30" t="s">
        <v>49</v>
      </c>
      <c r="K221" s="30" t="s">
        <v>24</v>
      </c>
      <c r="L221" s="33" t="s">
        <v>1614</v>
      </c>
      <c r="N221" s="34" t="b">
        <v>0</v>
      </c>
      <c r="O221" s="34" t="b">
        <v>0</v>
      </c>
    </row>
    <row r="222">
      <c r="A222" s="36"/>
      <c r="C222" s="30"/>
      <c r="F222" s="37"/>
      <c r="N222" s="30" t="b">
        <v>0</v>
      </c>
      <c r="O222" s="30" t="b">
        <v>0</v>
      </c>
      <c r="P222" s="34" t="str">
        <f>IFERROR(__xludf.DUMMYFUNCTION("SPARKLINE(COUNTIF(N222:O222,TRUE),{""charttype"",""bar"";""max"",2;""color1"",IF(COUNTIF(N222:O222, TRUE)=2, ""green"", ""yellow"")})"),"")</f>
        <v/>
      </c>
    </row>
    <row r="223">
      <c r="A223" s="36"/>
      <c r="P223" s="34" t="str">
        <f>IFERROR(__xludf.DUMMYFUNCTION("SPARKLINE(COUNTIF(N223:O223,TRUE),{""charttype"",""bar"";""max"",2;""color1"",IF(COUNTIF(N223:O223, TRUE)=2, ""green"", ""yellow"")})"),"")</f>
        <v/>
      </c>
    </row>
    <row r="224">
      <c r="A224" s="36"/>
      <c r="P224" s="34" t="str">
        <f>IFERROR(__xludf.DUMMYFUNCTION("SPARKLINE(COUNTIF(N224:O224,TRUE),{""charttype"",""bar"";""max"",2;""color1"",IF(COUNTIF(N224:O224, TRUE)=2, ""green"", ""yellow"")})"),"")</f>
        <v/>
      </c>
    </row>
    <row r="225">
      <c r="A225" s="36"/>
      <c r="P225" s="34" t="str">
        <f>IFERROR(__xludf.DUMMYFUNCTION("SPARKLINE(COUNTIF(N225:O225,TRUE),{""charttype"",""bar"";""max"",2;""color1"",IF(COUNTIF(N225:O225, TRUE)=2, ""green"", ""yellow"")})"),"")</f>
        <v/>
      </c>
    </row>
    <row r="226">
      <c r="A226" s="36"/>
      <c r="P226" s="34" t="str">
        <f>IFERROR(__xludf.DUMMYFUNCTION("SPARKLINE(COUNTIF(N226:O226,TRUE),{""charttype"",""bar"";""max"",2;""color1"",IF(COUNTIF(N226:O226, TRUE)=2, ""green"", ""yellow"")})"),"")</f>
        <v/>
      </c>
    </row>
    <row r="227">
      <c r="A227" s="36"/>
      <c r="P227" s="34" t="str">
        <f>IFERROR(__xludf.DUMMYFUNCTION("SPARKLINE(COUNTIF(N227:O227,TRUE),{""charttype"",""bar"";""max"",2;""color1"",IF(COUNTIF(N227:O227, TRUE)=2, ""green"", ""yellow"")})"),"")</f>
        <v/>
      </c>
    </row>
    <row r="228">
      <c r="A228" s="36"/>
      <c r="P228" s="34" t="str">
        <f>IFERROR(__xludf.DUMMYFUNCTION("SPARKLINE(COUNTIF(N228:O228,TRUE),{""charttype"",""bar"";""max"",2;""color1"",IF(COUNTIF(N228:O228, TRUE)=2, ""green"", ""yellow"")})"),"")</f>
        <v/>
      </c>
    </row>
    <row r="229">
      <c r="A229" s="36"/>
      <c r="P229" s="34" t="str">
        <f>IFERROR(__xludf.DUMMYFUNCTION("SPARKLINE(COUNTIF(N229:O229,TRUE),{""charttype"",""bar"";""max"",2;""color1"",IF(COUNTIF(N229:O229, TRUE)=2, ""green"", ""yellow"")})"),"")</f>
        <v/>
      </c>
    </row>
    <row r="230">
      <c r="A230" s="36"/>
      <c r="P230" s="34" t="str">
        <f>IFERROR(__xludf.DUMMYFUNCTION("SPARKLINE(COUNTIF(N230:O230,TRUE),{""charttype"",""bar"";""max"",2;""color1"",IF(COUNTIF(N230:O230, TRUE)=2, ""green"", ""yellow"")})"),"")</f>
        <v/>
      </c>
    </row>
    <row r="231">
      <c r="A231" s="36"/>
      <c r="P231" s="34" t="str">
        <f>IFERROR(__xludf.DUMMYFUNCTION("SPARKLINE(COUNTIF(N231:O231,TRUE),{""charttype"",""bar"";""max"",2;""color1"",IF(COUNTIF(N231:O231, TRUE)=2, ""green"", ""yellow"")})"),"")</f>
        <v/>
      </c>
    </row>
    <row r="232">
      <c r="A232" s="36"/>
      <c r="H232" s="30"/>
      <c r="P232" s="34" t="str">
        <f>IFERROR(__xludf.DUMMYFUNCTION("SPARKLINE(COUNTIF(N232:O232,TRUE),{""charttype"",""bar"";""max"",2;""color1"",IF(COUNTIF(N232:O232, TRUE)=2, ""green"", ""yellow"")})"),"")</f>
        <v/>
      </c>
    </row>
    <row r="233">
      <c r="A233" s="36"/>
      <c r="P233" s="34" t="str">
        <f>IFERROR(__xludf.DUMMYFUNCTION("SPARKLINE(COUNTIF(N233:O233,TRUE),{""charttype"",""bar"";""max"",2;""color1"",IF(COUNTIF(N233:O233, TRUE)=2, ""green"", ""yellow"")})"),"")</f>
        <v/>
      </c>
    </row>
    <row r="234">
      <c r="A234" s="36"/>
      <c r="P234" s="34" t="str">
        <f>IFERROR(__xludf.DUMMYFUNCTION("SPARKLINE(COUNTIF(N234:O234,TRUE),{""charttype"",""bar"";""max"",2;""color1"",IF(COUNTIF(N234:O234, TRUE)=2, ""green"", ""yellow"")})"),"")</f>
        <v/>
      </c>
    </row>
    <row r="235">
      <c r="A235" s="36"/>
      <c r="P235" s="34" t="str">
        <f>IFERROR(__xludf.DUMMYFUNCTION("SPARKLINE(COUNTIF(N235:O235,TRUE),{""charttype"",""bar"";""max"",2;""color1"",IF(COUNTIF(N235:O235, TRUE)=2, ""green"", ""yellow"")})"),"")</f>
        <v/>
      </c>
    </row>
    <row r="236">
      <c r="A236" s="36"/>
      <c r="P236" s="34" t="str">
        <f>IFERROR(__xludf.DUMMYFUNCTION("SPARKLINE(COUNTIF(N236:O236,TRUE),{""charttype"",""bar"";""max"",2;""color1"",IF(COUNTIF(N236:O236, TRUE)=2, ""green"", ""yellow"")})"),"")</f>
        <v/>
      </c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  <row r="1001">
      <c r="A1001" s="36"/>
    </row>
    <row r="1002">
      <c r="A1002" s="36"/>
    </row>
    <row r="1003">
      <c r="A1003" s="36"/>
    </row>
    <row r="1004">
      <c r="A1004" s="36"/>
    </row>
    <row r="1005">
      <c r="A1005" s="36"/>
    </row>
    <row r="1006">
      <c r="A1006" s="36"/>
    </row>
    <row r="1007">
      <c r="A1007" s="36"/>
    </row>
    <row r="1008">
      <c r="A1008" s="36"/>
    </row>
    <row r="1009">
      <c r="A1009" s="36"/>
    </row>
    <row r="1010">
      <c r="A1010" s="36"/>
    </row>
    <row r="1011">
      <c r="A1011" s="36"/>
    </row>
    <row r="1012">
      <c r="A1012" s="36"/>
    </row>
    <row r="1013">
      <c r="A1013" s="36"/>
    </row>
    <row r="1014">
      <c r="A1014" s="36"/>
    </row>
    <row r="1015">
      <c r="A1015" s="36"/>
    </row>
    <row r="1016">
      <c r="A1016" s="36"/>
    </row>
    <row r="1017">
      <c r="A1017" s="36"/>
    </row>
    <row r="1018">
      <c r="A1018" s="36"/>
    </row>
    <row r="1019">
      <c r="A1019" s="36"/>
    </row>
    <row r="1020">
      <c r="A1020" s="36"/>
    </row>
    <row r="1021">
      <c r="A1021" s="36"/>
    </row>
  </sheetData>
  <hyperlinks>
    <hyperlink r:id="rId2" ref="I2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I12"/>
    <hyperlink r:id="rId13" ref="I13"/>
    <hyperlink r:id="rId14" ref="M13"/>
    <hyperlink r:id="rId15" ref="I14"/>
    <hyperlink r:id="rId16" ref="I15"/>
    <hyperlink r:id="rId17" ref="I16"/>
    <hyperlink r:id="rId18" ref="I17"/>
    <hyperlink r:id="rId19" ref="I18"/>
    <hyperlink r:id="rId20" ref="M18"/>
    <hyperlink r:id="rId21" ref="I19"/>
    <hyperlink r:id="rId22" ref="M19"/>
    <hyperlink r:id="rId23" ref="I20"/>
    <hyperlink r:id="rId24" ref="I21"/>
    <hyperlink r:id="rId25" ref="I22"/>
    <hyperlink r:id="rId26" ref="I23"/>
    <hyperlink r:id="rId27" ref="I24"/>
    <hyperlink r:id="rId28" ref="M24"/>
    <hyperlink r:id="rId29" ref="I25"/>
    <hyperlink r:id="rId30" ref="M25"/>
    <hyperlink r:id="rId31" ref="I26"/>
    <hyperlink r:id="rId32" ref="I27"/>
    <hyperlink r:id="rId33" ref="I28"/>
    <hyperlink r:id="rId34" ref="I29"/>
    <hyperlink r:id="rId35" ref="I30"/>
    <hyperlink r:id="rId36" ref="I31"/>
    <hyperlink r:id="rId37" ref="I32"/>
    <hyperlink r:id="rId38" ref="I33"/>
    <hyperlink r:id="rId39" ref="I34"/>
    <hyperlink r:id="rId40" ref="I35"/>
    <hyperlink r:id="rId41" ref="I36"/>
    <hyperlink r:id="rId42" ref="I37"/>
    <hyperlink r:id="rId43" ref="M37"/>
    <hyperlink r:id="rId44" ref="I38"/>
    <hyperlink r:id="rId45" ref="I39"/>
    <hyperlink r:id="rId46" ref="I40"/>
    <hyperlink r:id="rId47" ref="I41"/>
    <hyperlink r:id="rId48" ref="I42"/>
    <hyperlink r:id="rId49" ref="I43"/>
    <hyperlink r:id="rId50" ref="I44"/>
    <hyperlink r:id="rId51" ref="I45"/>
    <hyperlink r:id="rId52" ref="M45"/>
    <hyperlink r:id="rId53" ref="I46"/>
    <hyperlink r:id="rId54" ref="I47"/>
    <hyperlink r:id="rId55" ref="I48"/>
    <hyperlink r:id="rId56" ref="I49"/>
    <hyperlink r:id="rId57" ref="I50"/>
    <hyperlink r:id="rId58" ref="I51"/>
    <hyperlink r:id="rId59" ref="I52"/>
    <hyperlink r:id="rId60" ref="I53"/>
    <hyperlink r:id="rId61" ref="I54"/>
    <hyperlink r:id="rId62" ref="I55"/>
    <hyperlink r:id="rId63" ref="I56"/>
    <hyperlink r:id="rId64" ref="M56"/>
    <hyperlink r:id="rId65" ref="I57"/>
    <hyperlink r:id="rId66" ref="I58"/>
    <hyperlink r:id="rId67" ref="I59"/>
    <hyperlink r:id="rId68" ref="I60"/>
    <hyperlink r:id="rId69" ref="I61"/>
    <hyperlink r:id="rId70" ref="I62"/>
    <hyperlink r:id="rId71" ref="I63"/>
    <hyperlink r:id="rId72" ref="I64"/>
    <hyperlink r:id="rId73" ref="I65"/>
    <hyperlink r:id="rId74" ref="I66"/>
    <hyperlink r:id="rId75" ref="I67"/>
    <hyperlink r:id="rId76" ref="I68"/>
    <hyperlink r:id="rId77" ref="I69"/>
    <hyperlink r:id="rId78" ref="I70"/>
    <hyperlink r:id="rId79" ref="I71"/>
    <hyperlink r:id="rId80" ref="I72"/>
    <hyperlink r:id="rId81" ref="I73"/>
    <hyperlink r:id="rId82" ref="I74"/>
    <hyperlink r:id="rId83" ref="I75"/>
    <hyperlink r:id="rId84" ref="I76"/>
    <hyperlink r:id="rId85" ref="I77"/>
    <hyperlink r:id="rId86" ref="I78"/>
    <hyperlink r:id="rId87" ref="I79"/>
    <hyperlink r:id="rId88" ref="I80"/>
    <hyperlink r:id="rId89" ref="I81"/>
    <hyperlink r:id="rId90" ref="I82"/>
    <hyperlink r:id="rId91" ref="I83"/>
    <hyperlink r:id="rId92" ref="I84"/>
    <hyperlink r:id="rId93" ref="I85"/>
    <hyperlink r:id="rId94" ref="M85"/>
    <hyperlink r:id="rId95" ref="I86"/>
    <hyperlink r:id="rId96" ref="I87"/>
    <hyperlink r:id="rId97" ref="I88"/>
    <hyperlink r:id="rId98" ref="I89"/>
    <hyperlink r:id="rId99" ref="I90"/>
    <hyperlink r:id="rId100" ref="I91"/>
    <hyperlink r:id="rId101" ref="I92"/>
    <hyperlink r:id="rId102" ref="I93"/>
    <hyperlink r:id="rId103" ref="I94"/>
    <hyperlink r:id="rId104" ref="I95"/>
    <hyperlink r:id="rId105" ref="I96"/>
    <hyperlink r:id="rId106" ref="I97"/>
    <hyperlink r:id="rId107" ref="I98"/>
    <hyperlink r:id="rId108" ref="I99"/>
    <hyperlink r:id="rId109" ref="M99"/>
    <hyperlink r:id="rId110" ref="I100"/>
    <hyperlink r:id="rId111" ref="I101"/>
    <hyperlink r:id="rId112" ref="I102"/>
    <hyperlink r:id="rId113" ref="I103"/>
    <hyperlink r:id="rId114" ref="I104"/>
    <hyperlink r:id="rId115" ref="I105"/>
    <hyperlink r:id="rId116" ref="I106"/>
    <hyperlink r:id="rId117" ref="I107"/>
    <hyperlink r:id="rId118" ref="I108"/>
    <hyperlink r:id="rId119" ref="I109"/>
    <hyperlink r:id="rId120" ref="I110"/>
    <hyperlink r:id="rId121" ref="M110"/>
    <hyperlink r:id="rId122" ref="I111"/>
    <hyperlink r:id="rId123" ref="I112"/>
    <hyperlink r:id="rId124" ref="I113"/>
    <hyperlink r:id="rId125" ref="I114"/>
    <hyperlink r:id="rId126" ref="I115"/>
    <hyperlink r:id="rId127" ref="I116"/>
    <hyperlink r:id="rId128" ref="I117"/>
    <hyperlink r:id="rId129" ref="I118"/>
    <hyperlink r:id="rId130" ref="I119"/>
    <hyperlink r:id="rId131" ref="I120"/>
    <hyperlink r:id="rId132" ref="I121"/>
    <hyperlink r:id="rId133" ref="I122"/>
    <hyperlink r:id="rId134" ref="M122"/>
    <hyperlink r:id="rId135" ref="I123"/>
    <hyperlink r:id="rId136" ref="I124"/>
    <hyperlink r:id="rId137" ref="I125"/>
    <hyperlink r:id="rId138" ref="I126"/>
    <hyperlink r:id="rId139" ref="I127"/>
    <hyperlink r:id="rId140" ref="I128"/>
    <hyperlink r:id="rId141" ref="I129"/>
    <hyperlink r:id="rId142" ref="M129"/>
    <hyperlink r:id="rId143" ref="I130"/>
    <hyperlink r:id="rId144" ref="I131"/>
    <hyperlink r:id="rId145" ref="I132"/>
    <hyperlink r:id="rId146" ref="I133"/>
    <hyperlink r:id="rId147" ref="I134"/>
    <hyperlink r:id="rId148" ref="I135"/>
    <hyperlink r:id="rId149" ref="I136"/>
    <hyperlink r:id="rId150" ref="I137"/>
    <hyperlink r:id="rId151" ref="I138"/>
    <hyperlink r:id="rId152" ref="I139"/>
    <hyperlink r:id="rId153" ref="I140"/>
    <hyperlink r:id="rId154" ref="I141"/>
    <hyperlink r:id="rId155" ref="I142"/>
    <hyperlink r:id="rId156" ref="I143"/>
    <hyperlink r:id="rId157" ref="I144"/>
    <hyperlink r:id="rId158" ref="I145"/>
    <hyperlink r:id="rId159" ref="I146"/>
    <hyperlink r:id="rId160" ref="I147"/>
    <hyperlink r:id="rId161" ref="I148"/>
    <hyperlink r:id="rId162" ref="I149"/>
    <hyperlink r:id="rId163" ref="I150"/>
    <hyperlink r:id="rId164" ref="I151"/>
    <hyperlink r:id="rId165" ref="I152"/>
    <hyperlink r:id="rId166" ref="I153"/>
    <hyperlink r:id="rId167" ref="M153"/>
    <hyperlink r:id="rId168" ref="I154"/>
    <hyperlink r:id="rId169" ref="M154"/>
    <hyperlink r:id="rId170" ref="I155"/>
    <hyperlink r:id="rId171" ref="I156"/>
    <hyperlink r:id="rId172" ref="I157"/>
    <hyperlink r:id="rId173" ref="I158"/>
    <hyperlink r:id="rId174" ref="I159"/>
    <hyperlink r:id="rId175" ref="I160"/>
    <hyperlink r:id="rId176" ref="I161"/>
    <hyperlink r:id="rId177" ref="I162"/>
    <hyperlink r:id="rId178" ref="I163"/>
    <hyperlink r:id="rId179" ref="I164"/>
    <hyperlink r:id="rId180" ref="I165"/>
    <hyperlink r:id="rId181" ref="M165"/>
    <hyperlink r:id="rId182" ref="I166"/>
    <hyperlink r:id="rId183" ref="I167"/>
    <hyperlink r:id="rId184" ref="I168"/>
    <hyperlink r:id="rId185" ref="I169"/>
    <hyperlink r:id="rId186" ref="I170"/>
    <hyperlink r:id="rId187" ref="M170"/>
    <hyperlink r:id="rId188" ref="I171"/>
    <hyperlink r:id="rId189" ref="I172"/>
    <hyperlink r:id="rId190" ref="I173"/>
    <hyperlink r:id="rId191" ref="I174"/>
    <hyperlink r:id="rId192" ref="I175"/>
    <hyperlink r:id="rId193" ref="I176"/>
    <hyperlink r:id="rId194" ref="I177"/>
    <hyperlink r:id="rId195" ref="I178"/>
    <hyperlink r:id="rId196" ref="I179"/>
    <hyperlink r:id="rId197" ref="I180"/>
    <hyperlink r:id="rId198" ref="I181"/>
    <hyperlink r:id="rId199" ref="I182"/>
    <hyperlink r:id="rId200" ref="M182"/>
    <hyperlink r:id="rId201" ref="I183"/>
    <hyperlink r:id="rId202" ref="I184"/>
    <hyperlink r:id="rId203" ref="I185"/>
    <hyperlink r:id="rId204" ref="I186"/>
    <hyperlink r:id="rId205" ref="I187"/>
    <hyperlink r:id="rId206" ref="I188"/>
    <hyperlink r:id="rId207" ref="I189"/>
    <hyperlink r:id="rId208" ref="I190"/>
    <hyperlink r:id="rId209" ref="I191"/>
    <hyperlink r:id="rId210" ref="I192"/>
    <hyperlink r:id="rId211" ref="I193"/>
    <hyperlink r:id="rId212" ref="M193"/>
    <hyperlink r:id="rId213" ref="I194"/>
    <hyperlink r:id="rId214" ref="I195"/>
    <hyperlink r:id="rId215" ref="I196"/>
    <hyperlink r:id="rId216" ref="I197"/>
    <hyperlink r:id="rId217" ref="I198"/>
    <hyperlink r:id="rId218" ref="I199"/>
    <hyperlink r:id="rId219" ref="I200"/>
    <hyperlink r:id="rId220" ref="I201"/>
    <hyperlink r:id="rId221" ref="I202"/>
    <hyperlink r:id="rId222" ref="I203"/>
    <hyperlink r:id="rId223" ref="I204"/>
    <hyperlink r:id="rId224" ref="I205"/>
    <hyperlink r:id="rId225" ref="I206"/>
    <hyperlink r:id="rId226" ref="I207"/>
    <hyperlink r:id="rId227" ref="I208"/>
    <hyperlink r:id="rId228" ref="I209"/>
    <hyperlink r:id="rId229" ref="I210"/>
    <hyperlink r:id="rId230" ref="I211"/>
    <hyperlink r:id="rId231" ref="I212"/>
    <hyperlink r:id="rId232" ref="I213"/>
    <hyperlink r:id="rId233" ref="I214"/>
    <hyperlink r:id="rId234" ref="I215"/>
    <hyperlink r:id="rId235" ref="I216"/>
    <hyperlink r:id="rId236" ref="I217"/>
    <hyperlink r:id="rId237" ref="I218"/>
    <hyperlink r:id="rId238" ref="I219"/>
    <hyperlink r:id="rId239" ref="I220"/>
    <hyperlink r:id="rId240" ref="I221"/>
  </hyperlinks>
  <drawing r:id="rId241"/>
  <legacyDrawing r:id="rId242"/>
  <tableParts count="1">
    <tablePart r:id="rId24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25"/>
    <col customWidth="1" min="3" max="3" width="53.25"/>
    <col customWidth="1" min="4" max="4" width="23.63"/>
    <col customWidth="1" min="5" max="5" width="25.38"/>
  </cols>
  <sheetData>
    <row r="3">
      <c r="B3" s="38"/>
      <c r="C3" s="38"/>
      <c r="D3" s="39"/>
      <c r="E3" s="39"/>
      <c r="F3" s="39"/>
    </row>
    <row r="4">
      <c r="B4" s="38"/>
      <c r="C4" s="38"/>
      <c r="D4" s="39"/>
      <c r="E4" s="39"/>
      <c r="F4" s="39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2"/>
</worksheet>
</file>